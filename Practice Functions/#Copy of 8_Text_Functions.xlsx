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6900" activeTab="4"/>
  </bookViews>
  <sheets>
    <sheet name="Data" sheetId="8" r:id="rId1"/>
    <sheet name="Text_Combination" sheetId="9" r:id="rId2"/>
    <sheet name="Text_Extraction" sheetId="10" r:id="rId3"/>
    <sheet name="Text_Search" sheetId="11" r:id="rId4"/>
    <sheet name="Skills" sheetId="1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<sst xmlns="http://schemas.openxmlformats.org/spreadsheetml/2006/main" count="609" uniqueCount="95">
  <si>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Applicant ID</t>
  </si>
  <si>
    <t>Full Name</t>
  </si>
  <si>
    <t>Job Position</t>
  </si>
  <si>
    <t>Application Date &amp; Time</t>
  </si>
  <si>
    <t>Email</t>
  </si>
  <si>
    <t>Street</t>
  </si>
  <si>
    <t>City State Zip</t>
  </si>
  <si>
    <t>Skills List</t>
  </si>
  <si>
    <t>Full Address</t>
  </si>
  <si>
    <t>First Name</t>
  </si>
  <si>
    <t>Last Name</t>
  </si>
  <si>
    <t>Applicant ID (Short)</t>
  </si>
  <si>
    <t>Find and MID (State)</t>
  </si>
  <si>
    <t>AID0123548</t>
  </si>
  <si>
    <t>Pam Beesly</t>
  </si>
  <si>
    <t>Data Analyst</t>
  </si>
  <si>
    <t>pam.beesly@outlook.com</t>
  </si>
  <si>
    <t>457 Oak St</t>
  </si>
  <si>
    <t>San Jose, CA, 95101</t>
  </si>
  <si>
    <t>Kafka, DataBricks, Spark, Python, GCP</t>
  </si>
  <si>
    <t>AID0123549</t>
  </si>
  <si>
    <t>Michael Scott</t>
  </si>
  <si>
    <t>Business Intelligence Analyst</t>
  </si>
  <si>
    <t>michael.scott@gmail.com</t>
  </si>
  <si>
    <t>203 Birch St</t>
  </si>
  <si>
    <t>Chicago, IL, 60601</t>
  </si>
  <si>
    <t>Power BI, GCP, Airflow, Hadoop, R</t>
  </si>
  <si>
    <t>AID0123550</t>
  </si>
  <si>
    <t>Kevin Malone</t>
  </si>
  <si>
    <t>Data Engineer</t>
  </si>
  <si>
    <t>kevin.malone@aol.com</t>
  </si>
  <si>
    <t>790 Pine St</t>
  </si>
  <si>
    <t>Azure, Java, SQL, DataBricks</t>
  </si>
  <si>
    <t>AID0123551</t>
  </si>
  <si>
    <t>AID0123552</t>
  </si>
  <si>
    <t>Jim Halpert</t>
  </si>
  <si>
    <t>Data Scientist</t>
  </si>
  <si>
    <t>jim.halpert@hotmail.com</t>
  </si>
  <si>
    <t>459 Oak St</t>
  </si>
  <si>
    <t>Philadelphia, PA, 19101</t>
  </si>
  <si>
    <t>DataBricks, Hadoop, Java</t>
  </si>
  <si>
    <t>AID0123553</t>
  </si>
  <si>
    <t>Ryan Howard</t>
  </si>
  <si>
    <t>Machine Learning Engineer</t>
  </si>
  <si>
    <t>ryan.howard@aol.com</t>
  </si>
  <si>
    <t>204 Birch St</t>
  </si>
  <si>
    <t>Snowflake, Airflow, DataBricks</t>
  </si>
  <si>
    <t>AID0123554</t>
  </si>
  <si>
    <t>AID0123555</t>
  </si>
  <si>
    <t>AID0123556</t>
  </si>
  <si>
    <t>Stanley Hudson</t>
  </si>
  <si>
    <t>stanley.hudson@gmail.com</t>
  </si>
  <si>
    <t>123 Elm St</t>
  </si>
  <si>
    <t>Scala, Azure, R, Kafka</t>
  </si>
  <si>
    <t>AID0123557</t>
  </si>
  <si>
    <t>Angela Martin</t>
  </si>
  <si>
    <t>angela.martin@ymail.com</t>
  </si>
  <si>
    <t>Los Angeles, CA, 90001</t>
  </si>
  <si>
    <t>Snowflake, Excel, Scala</t>
  </si>
  <si>
    <t>AID0123558</t>
  </si>
  <si>
    <t>Dwight Schrute</t>
  </si>
  <si>
    <t>dwight.schrute@gmail.com</t>
  </si>
  <si>
    <t>San Diego, CA, 92101</t>
  </si>
  <si>
    <t>Excel, Power BI, R</t>
  </si>
  <si>
    <t>AID0123559</t>
  </si>
  <si>
    <t>Oscar Martinez</t>
  </si>
  <si>
    <t>oscar.martinez@outlook.com</t>
  </si>
  <si>
    <t>202 Birch St</t>
  </si>
  <si>
    <t>Scala, R, Hadoop, Power BI, SQL</t>
  </si>
  <si>
    <t>AID0123560</t>
  </si>
  <si>
    <t>AID0123561</t>
  </si>
  <si>
    <t>Phyllis Vance</t>
  </si>
  <si>
    <t>phyllis.vance@gmail.com</t>
  </si>
  <si>
    <t>Java, Scala, R</t>
  </si>
  <si>
    <t>AID0123562</t>
  </si>
  <si>
    <t>Meredith Palmer</t>
  </si>
  <si>
    <t>meredith.palmer@outlook.com</t>
  </si>
  <si>
    <t>456 Oak St</t>
  </si>
  <si>
    <t>DataBricks, Azure, Scala</t>
  </si>
  <si>
    <t>AID0123563</t>
  </si>
  <si>
    <t>Chicago, IL, 60602</t>
  </si>
  <si>
    <t>AID0123564</t>
  </si>
  <si>
    <t>AID0123565</t>
  </si>
  <si>
    <t>Kelly Kapoor</t>
  </si>
  <si>
    <t>kelly.kapoor@gmail.com</t>
  </si>
  <si>
    <t>New York, NY, 10001</t>
  </si>
  <si>
    <t>Snowflake, Power BI, Tableau, Airflow, SQL</t>
  </si>
  <si>
    <t>AID0123566</t>
  </si>
  <si>
    <t>AID0123567</t>
  </si>
  <si>
    <t>Unique Jobs</t>
  </si>
  <si>
    <t>Check Applicant ID</t>
  </si>
  <si>
    <t>=TEXTJOIN(", ", TRUE, Data!H2:H21)</t>
  </si>
  <si>
    <t>=TEXTSPLIT(A3, ", ")</t>
  </si>
  <si>
    <t>=UNIQUE(TRANSPOSE(6:6))</t>
  </si>
  <si>
    <t>=COUNTIF($6:$6,A9)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</si>
</sst>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d/yy\ h:mm\ AM/PM;@"/>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4" borderId="12" applyNumberFormat="0" applyAlignment="0" applyProtection="0">
      <alignment vertical="center"/>
    </xf>
    <xf numFmtId="0" fontId="12" fillId="5" borderId="13" applyNumberFormat="0" applyAlignment="0" applyProtection="0">
      <alignment vertical="center"/>
    </xf>
    <xf numFmtId="0" fontId="13" fillId="5" borderId="12" applyNumberFormat="0" applyAlignment="0" applyProtection="0">
      <alignment vertical="center"/>
    </xf>
    <xf numFmtId="0" fontId="14" fillId="6"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7">
    <xf numFmtId="0" fontId="0" fillId="0" borderId="0" xfId="0"/>
    <xf numFmtId="0" fontId="1" fillId="2" borderId="0" xfId="0" applyFont="1" applyFill="1"/>
    <xf numFmtId="0" fontId="0" fillId="2" borderId="0" xfId="0" applyFill="1"/>
    <xf numFmtId="0" fontId="0" fillId="0" borderId="1" xfId="0" applyBorder="1"/>
    <xf numFmtId="58" fontId="0" fillId="0" borderId="0" xfId="0" applyNumberFormat="1"/>
    <xf numFmtId="0" fontId="1" fillId="2" borderId="2" xfId="0" applyFont="1" applyFill="1" applyBorder="1"/>
    <xf numFmtId="0" fontId="1" fillId="2" borderId="3" xfId="0" applyFont="1" applyFill="1" applyBorder="1"/>
    <xf numFmtId="58" fontId="1" fillId="2" borderId="3" xfId="0" applyNumberFormat="1" applyFont="1" applyFill="1" applyBorder="1"/>
    <xf numFmtId="0" fontId="1" fillId="2" borderId="4" xfId="0" applyFont="1" applyFill="1" applyBorder="1"/>
    <xf numFmtId="0" fontId="0" fillId="0" borderId="5" xfId="0" applyBorder="1"/>
    <xf numFmtId="178" fontId="0" fillId="0" borderId="1" xfId="0" applyNumberFormat="1" applyBorder="1"/>
    <xf numFmtId="0" fontId="0" fillId="0" borderId="6" xfId="0" applyBorder="1"/>
    <xf numFmtId="0" fontId="0" fillId="0" borderId="7" xfId="0" applyBorder="1"/>
    <xf numFmtId="178" fontId="0" fillId="0" borderId="7" xfId="0" applyNumberFormat="1" applyBorder="1"/>
    <xf numFmtId="0" fontId="0" fillId="0" borderId="8" xfId="0" applyBorder="1"/>
    <xf numFmtId="0" fontId="1" fillId="2" borderId="0" xfId="0" applyFont="1" applyFill="1" applyAlignment="1">
      <alignment horizontal="center"/>
    </xf>
    <xf numFmtId="0" fontId="1" fillId="0" borderId="0" xfId="0" applyFont="1"/>
    <xf numFmtId="0" fontId="1" fillId="2" borderId="0" xfId="0" applyFont="1" applyFill="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Skill Count Of An Application</a:t>
            </a:r>
          </a:p>
        </c:rich>
      </c:tx>
      <c:layout>
        <c:manualLayout>
          <c:xMode val="edge"/>
          <c:yMode val="edge"/>
          <c:x val="0.261321989528796"/>
          <c:y val="0.0247685185185185"/>
        </c:manualLayout>
      </c:layout>
      <c:overlay val="0"/>
      <c:spPr>
        <a:noFill/>
        <a:ln>
          <a:noFill/>
        </a:ln>
        <a:effectLst/>
      </c:spPr>
    </c:title>
    <c:autoTitleDeleted val="0"/>
    <c:plotArea>
      <c:layout/>
      <c:barChart>
        <c:barDir val="bar"/>
        <c:grouping val="clustered"/>
        <c:varyColors val="0"/>
        <c:ser>
          <c:idx val="0"/>
          <c:order val="0"/>
          <c:spPr>
            <a:solidFill>
              <a:schemeClr val="accent1"/>
            </a:solidFill>
            <a:ln>
              <a:noFill/>
            </a:ln>
            <a:effectLst/>
          </c:spPr>
          <c:invertIfNegative val="0"/>
          <c:dLbls>
            <c:delete val="1"/>
          </c:dLbls>
          <c:val>
            <c:numRef>
              <c:f>Skills!$A$9:$A$25</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ser>
          <c:idx val="1"/>
          <c:order val="1"/>
          <c:spPr>
            <a:solidFill>
              <a:schemeClr val="accent2"/>
            </a:solidFill>
            <a:ln>
              <a:noFill/>
            </a:ln>
            <a:effectLst/>
          </c:spPr>
          <c:invertIfNegative val="0"/>
          <c:dLbls>
            <c:delete val="1"/>
          </c:dLbls>
          <c:val>
            <c:numRef>
              <c:f>Skills!$B$9:$B$25</c:f>
              <c:numCache>
                <c:formatCode>General</c:formatCode>
                <c:ptCount val="17"/>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ser>
        <c:dLbls>
          <c:showLegendKey val="0"/>
          <c:showVal val="0"/>
          <c:showCatName val="0"/>
          <c:showSerName val="0"/>
          <c:showPercent val="0"/>
          <c:showBubbleSize val="0"/>
        </c:dLbls>
        <c:gapWidth val="140"/>
        <c:overlap val="-40"/>
        <c:axId val="771430260"/>
        <c:axId val="82232840"/>
      </c:barChart>
      <c:catAx>
        <c:axId val="771430260"/>
        <c:scaling>
          <c:orientation val="minMax"/>
        </c:scaling>
        <c:delete val="0"/>
        <c:axPos val="l"/>
        <c:majorTickMark val="none"/>
        <c:minorTickMark val="none"/>
        <c:tickLblPos val="nextTo"/>
        <c:spPr>
          <a:pattFill prst="pct5">
            <a:fgClr>
              <a:schemeClr val="accent1"/>
            </a:fgClr>
            <a:bgClr>
              <a:schemeClr val="bg1"/>
            </a:bgClr>
          </a:patt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232840"/>
        <c:crosses val="autoZero"/>
        <c:auto val="1"/>
        <c:lblAlgn val="ctr"/>
        <c:lblOffset val="100"/>
        <c:noMultiLvlLbl val="0"/>
      </c:catAx>
      <c:valAx>
        <c:axId val="82232840"/>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71430260"/>
        <c:crosses val="autoZero"/>
        <c:crossBetween val="between"/>
      </c:valAx>
      <c:spPr>
        <a:noFill/>
        <a:ln w="12700" cmpd="sng">
          <a:solidFill>
            <a:schemeClr val="accent1"/>
          </a:solidFill>
          <a:prstDash val="solid"/>
        </a:ln>
        <a:effectLst>
          <a:glow rad="139700">
            <a:schemeClr val="accent2">
              <a:satMod val="175000"/>
              <a:alpha val="40000"/>
            </a:schemeClr>
          </a:glow>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79375</xdr:colOff>
      <xdr:row>10</xdr:row>
      <xdr:rowOff>50800</xdr:rowOff>
    </xdr:from>
    <xdr:to>
      <xdr:col>11</xdr:col>
      <xdr:colOff>104775</xdr:colOff>
      <xdr:row>24</xdr:row>
      <xdr:rowOff>127000</xdr:rowOff>
    </xdr:to>
    <xdr:graphicFrame>
      <xdr:nvGraphicFramePr>
        <xdr:cNvPr id="2" name="Chart 1"/>
        <xdr:cNvGraphicFramePr/>
      </xdr:nvGraphicFramePr>
      <xdr:xfrm>
        <a:off x="2908300" y="19558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
  <sheetViews>
    <sheetView zoomScale="110" zoomScaleNormal="110" topLeftCell="C1" workbookViewId="0">
      <selection activeCell="T2" sqref="T2"/>
    </sheetView>
  </sheetViews>
  <sheetFormatPr defaultColWidth="9" defaultRowHeight="15"/>
  <cols>
    <col min="1" max="1" width="17.5714285714286" customWidth="1"/>
    <col min="2" max="2" width="14.2857142857143" customWidth="1"/>
    <col min="3" max="3" width="27.2857142857143" customWidth="1"/>
    <col min="4" max="4" width="17.5714285714286" style="4" customWidth="1"/>
    <col min="5" max="5" width="26.2857142857143" customWidth="1"/>
    <col min="6" max="6" width="11" customWidth="1"/>
    <col min="7" max="7" width="22" customWidth="1"/>
    <col min="8" max="8" width="40" customWidth="1"/>
    <col min="9" max="9" width="8.85714285714286" customWidth="1"/>
    <col min="10" max="10" width="34.7142857142857" customWidth="1"/>
    <col min="11" max="11" width="8.85714285714286" customWidth="1"/>
    <col min="12" max="12" width="13.2857142857143" customWidth="1"/>
    <col min="13" max="13" width="15.4285714285714" customWidth="1"/>
    <col min="14" max="14" width="8.85714285714286" customWidth="1"/>
    <col min="15" max="15" width="16.4285714285714" hidden="1" customWidth="1"/>
    <col min="17" max="19" width="9" hidden="1" customWidth="1"/>
  </cols>
  <sheetData>
    <row r="1" spans="1:22">
      <c r="A1" s="5" t="s">
        <v>0</v>
      </c>
      <c r="B1" s="6" t="s">
        <v>1</v>
      </c>
      <c r="C1" s="6" t="s">
        <v>2</v>
      </c>
      <c r="D1" s="7" t="s">
        <v>3</v>
      </c>
      <c r="E1" s="6" t="s">
        <v>4</v>
      </c>
      <c r="F1" s="6" t="s">
        <v>5</v>
      </c>
      <c r="G1" s="6" t="s">
        <v>6</v>
      </c>
      <c r="H1" s="8" t="s">
        <v>7</v>
      </c>
      <c r="J1" s="1" t="s">
        <v>8</v>
      </c>
      <c r="L1" s="1" t="s">
        <v>9</v>
      </c>
      <c r="M1" s="1" t="s">
        <v>10</v>
      </c>
      <c r="O1" s="1" t="s">
        <v>11</v>
      </c>
      <c r="Q1" s="15" t="s">
        <v>12</v>
      </c>
      <c r="R1" s="15"/>
      <c r="S1" s="15"/>
      <c r="T1" s="15" t="s">
        <v>12</v>
      </c>
      <c r="U1" s="15"/>
      <c r="V1" s="15"/>
    </row>
    <row r="2" spans="1:22">
      <c r="A2" s="9" t="s">
        <v>13</v>
      </c>
      <c r="B2" s="3" t="s">
        <v>14</v>
      </c>
      <c r="C2" s="3" t="s">
        <v>15</v>
      </c>
      <c r="D2" s="10">
        <v>44971.6404513889</v>
      </c>
      <c r="E2" s="3" t="s">
        <v>16</v>
      </c>
      <c r="F2" s="3" t="s">
        <v>17</v>
      </c>
      <c r="G2" s="3" t="s">
        <v>18</v>
      </c>
      <c r="H2" s="11" t="s">
        <v>19</v>
      </c>
      <c r="J2" t="str">
        <f>_xlfn.TEXTJOIN(" ",TRUE,F2:G2)</f>
        <v>457 Oak St San Jose, CA, 95101</v>
      </c>
      <c r="L2" t="str" cm="1">
        <f t="array" ref="L2:M2">_xlfn.TEXTSPLIT(B2," ")</f>
        <v>Pam</v>
      </c>
      <c r="M2" t="str">
        <v>Beesly</v>
      </c>
      <c r="O2" t="str">
        <f>RIGHT(A2,7)</f>
        <v>0123548</v>
      </c>
      <c r="Q2">
        <f>FIND(",",G2)+LEN(", ")</f>
        <v>11</v>
      </c>
      <c r="R2">
        <f>FIND(",",G2,Q2)</f>
        <v>13</v>
      </c>
      <c r="S2" t="str">
        <f>MID(G2,Q2,R2-Q2)</f>
        <v>CA</v>
      </c>
      <c r="T2">
        <f>FIND(",",G2)+2</f>
        <v>11</v>
      </c>
      <c r="U2">
        <f>FIND(",",G2,T2)</f>
        <v>13</v>
      </c>
      <c r="V2" t="str">
        <f>MID(G2,T2,2)</f>
        <v>CA</v>
      </c>
    </row>
    <row r="3" spans="1:22">
      <c r="A3" s="9" t="s">
        <v>20</v>
      </c>
      <c r="B3" s="3" t="s">
        <v>21</v>
      </c>
      <c r="C3" s="3" t="s">
        <v>22</v>
      </c>
      <c r="D3" s="10">
        <v>45055.4066203704</v>
      </c>
      <c r="E3" s="3" t="s">
        <v>23</v>
      </c>
      <c r="F3" s="3" t="s">
        <v>24</v>
      </c>
      <c r="G3" s="3" t="s">
        <v>25</v>
      </c>
      <c r="H3" s="11" t="s">
        <v>26</v>
      </c>
      <c r="J3" t="str">
        <f t="shared" ref="J3:J21" si="0">_xlfn.TEXTJOIN(" ",TRUE,F3:G3)</f>
        <v>203 Birch St Chicago, IL, 60601</v>
      </c>
      <c r="L3" t="str" cm="1">
        <f t="array" ref="L3:M3">_xlfn.TEXTSPLIT(B3," ")</f>
        <v>Michael</v>
      </c>
      <c r="M3" t="str">
        <v>Scott</v>
      </c>
      <c r="O3" t="str">
        <f t="shared" ref="O3:O21" si="1">RIGHT(A3,7)</f>
        <v>0123549</v>
      </c>
      <c r="Q3">
        <f t="shared" ref="Q3:Q21" si="2">FIND(",",G3)+LEN(", ")</f>
        <v>10</v>
      </c>
      <c r="R3">
        <f t="shared" ref="R3:R21" si="3">FIND(",",G3,Q3)</f>
        <v>12</v>
      </c>
      <c r="S3" t="str">
        <f t="shared" ref="S3:S21" si="4">MID(G3,Q3,R3-Q3)</f>
        <v>IL</v>
      </c>
      <c r="T3">
        <f t="shared" ref="T3:T21" si="5">FIND(",",G3)+2</f>
        <v>10</v>
      </c>
      <c r="U3">
        <f t="shared" ref="U3:U21" si="6">FIND(",",G3,T3)</f>
        <v>12</v>
      </c>
      <c r="V3" t="str">
        <f t="shared" ref="V3:V21" si="7">MID(G3,T3,2)</f>
        <v>IL</v>
      </c>
    </row>
    <row r="4" spans="1:22">
      <c r="A4" s="9" t="s">
        <v>27</v>
      </c>
      <c r="B4" s="3" t="s">
        <v>28</v>
      </c>
      <c r="C4" s="3" t="s">
        <v>29</v>
      </c>
      <c r="D4" s="10">
        <v>45128.7297106481</v>
      </c>
      <c r="E4" s="3" t="s">
        <v>30</v>
      </c>
      <c r="F4" s="3" t="s">
        <v>31</v>
      </c>
      <c r="G4" s="3" t="s">
        <v>25</v>
      </c>
      <c r="H4" s="11" t="s">
        <v>32</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c r="A5" s="9" t="s">
        <v>33</v>
      </c>
      <c r="B5" s="3" t="s">
        <v>14</v>
      </c>
      <c r="C5" s="3" t="s">
        <v>22</v>
      </c>
      <c r="D5" s="10">
        <v>45173.3021875</v>
      </c>
      <c r="E5" s="3" t="s">
        <v>16</v>
      </c>
      <c r="F5" s="3" t="s">
        <v>17</v>
      </c>
      <c r="G5" s="3" t="s">
        <v>18</v>
      </c>
      <c r="H5" s="11" t="s">
        <v>19</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c r="A6" s="9" t="s">
        <v>34</v>
      </c>
      <c r="B6" s="3" t="s">
        <v>35</v>
      </c>
      <c r="C6" s="3" t="s">
        <v>36</v>
      </c>
      <c r="D6" s="10">
        <v>45248.7085763889</v>
      </c>
      <c r="E6" s="3" t="s">
        <v>37</v>
      </c>
      <c r="F6" s="3" t="s">
        <v>38</v>
      </c>
      <c r="G6" s="3" t="s">
        <v>39</v>
      </c>
      <c r="H6" s="11" t="s">
        <v>40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c r="A7" s="9" t="s">
        <v>41</v>
      </c>
      <c r="B7" s="3" t="s">
        <v>42</v>
      </c>
      <c r="C7" s="3" t="s">
        <v>43</v>
      </c>
      <c r="D7" s="10">
        <v>45302.5319212963</v>
      </c>
      <c r="E7" s="3" t="s">
        <v>44</v>
      </c>
      <c r="F7" s="3" t="s">
        <v>45</v>
      </c>
      <c r="G7" s="3" t="s">
        <v>39</v>
      </c>
      <c r="H7" s="11" t="s">
        <v>46</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c r="A8" s="9" t="s">
        <v>47</v>
      </c>
      <c r="B8" s="3" t="s">
        <v>28</v>
      </c>
      <c r="C8" s="3" t="s">
        <v>22</v>
      </c>
      <c r="D8" s="10">
        <v>45354.6878819444</v>
      </c>
      <c r="E8" s="3" t="s">
        <v>30</v>
      </c>
      <c r="F8" s="3" t="s">
        <v>31</v>
      </c>
      <c r="G8" s="3" t="s">
        <v>25</v>
      </c>
      <c r="H8" s="11" t="s">
        <v>32</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c r="A9" s="9" t="s">
        <v>48</v>
      </c>
      <c r="B9" s="3" t="s">
        <v>42</v>
      </c>
      <c r="C9" s="3" t="s">
        <v>15</v>
      </c>
      <c r="D9" s="10">
        <v>45408.3408101852</v>
      </c>
      <c r="E9" s="3" t="s">
        <v>44</v>
      </c>
      <c r="F9" s="3" t="s">
        <v>45</v>
      </c>
      <c r="G9" s="3" t="s">
        <v>39</v>
      </c>
      <c r="H9" s="11" t="s">
        <v>46</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c r="A10" s="9" t="s">
        <v>49</v>
      </c>
      <c r="B10" s="3" t="s">
        <v>50</v>
      </c>
      <c r="C10" s="3" t="s">
        <v>36</v>
      </c>
      <c r="D10" s="10">
        <v>45458.7433333333</v>
      </c>
      <c r="E10" s="3" t="s">
        <v>51</v>
      </c>
      <c r="F10" s="3" t="s">
        <v>52</v>
      </c>
      <c r="G10" s="3" t="s">
        <v>25</v>
      </c>
      <c r="H10" s="11" t="s">
        <v>53</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c r="A11" s="9" t="s">
        <v>54</v>
      </c>
      <c r="B11" s="3" t="s">
        <v>55</v>
      </c>
      <c r="C11" s="3" t="s">
        <v>29</v>
      </c>
      <c r="D11" s="10">
        <v>45480.6080555556</v>
      </c>
      <c r="E11" s="3" t="s">
        <v>56</v>
      </c>
      <c r="F11" s="3" t="s">
        <v>52</v>
      </c>
      <c r="G11" s="3" t="s">
        <v>57</v>
      </c>
      <c r="H11" s="11" t="s">
        <v>58</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c r="A12" s="9" t="s">
        <v>59</v>
      </c>
      <c r="B12" s="3" t="s">
        <v>60</v>
      </c>
      <c r="C12" s="3" t="s">
        <v>36</v>
      </c>
      <c r="D12" s="10">
        <v>45455.2849305556</v>
      </c>
      <c r="E12" s="3" t="s">
        <v>61</v>
      </c>
      <c r="F12" s="3" t="s">
        <v>52</v>
      </c>
      <c r="G12" s="3" t="s">
        <v>62</v>
      </c>
      <c r="H12" s="11" t="s">
        <v>63</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c r="A13" s="9" t="s">
        <v>64</v>
      </c>
      <c r="B13" s="3" t="s">
        <v>65</v>
      </c>
      <c r="C13" s="3" t="s">
        <v>43</v>
      </c>
      <c r="D13" s="10">
        <v>44951.5521412037</v>
      </c>
      <c r="E13" s="3" t="s">
        <v>66</v>
      </c>
      <c r="F13" s="3" t="s">
        <v>67</v>
      </c>
      <c r="G13" s="3" t="s">
        <v>25</v>
      </c>
      <c r="H13" s="11" t="s">
        <v>68</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c r="A14" s="9" t="s">
        <v>69</v>
      </c>
      <c r="B14" s="3" t="s">
        <v>42</v>
      </c>
      <c r="C14" s="3" t="s">
        <v>29</v>
      </c>
      <c r="D14" s="10">
        <v>45002.4900347222</v>
      </c>
      <c r="E14" s="3" t="s">
        <v>44</v>
      </c>
      <c r="F14" s="3" t="s">
        <v>45</v>
      </c>
      <c r="G14" s="3" t="s">
        <v>39</v>
      </c>
      <c r="H14" s="11" t="s">
        <v>46</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c r="A15" s="9" t="s">
        <v>70</v>
      </c>
      <c r="B15" s="3" t="s">
        <v>71</v>
      </c>
      <c r="C15" s="3" t="s">
        <v>43</v>
      </c>
      <c r="D15" s="10">
        <v>45078.4172569444</v>
      </c>
      <c r="E15" s="3" t="s">
        <v>72</v>
      </c>
      <c r="F15" s="3" t="s">
        <v>52</v>
      </c>
      <c r="G15" s="3" t="s">
        <v>25</v>
      </c>
      <c r="H15" s="11" t="s">
        <v>73</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c r="A16" s="9" t="s">
        <v>74</v>
      </c>
      <c r="B16" s="3" t="s">
        <v>75</v>
      </c>
      <c r="C16" s="3" t="s">
        <v>43</v>
      </c>
      <c r="D16" s="10">
        <v>45168.7293287037</v>
      </c>
      <c r="E16" s="3" t="s">
        <v>76</v>
      </c>
      <c r="F16" s="3" t="s">
        <v>77</v>
      </c>
      <c r="G16" s="3" t="s">
        <v>25</v>
      </c>
      <c r="H16" s="11" t="s">
        <v>78</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c r="A17" s="9" t="s">
        <v>79</v>
      </c>
      <c r="B17" s="3" t="s">
        <v>21</v>
      </c>
      <c r="C17" s="3" t="s">
        <v>36</v>
      </c>
      <c r="D17" s="10">
        <v>45218.3197800926</v>
      </c>
      <c r="E17" s="3" t="s">
        <v>23</v>
      </c>
      <c r="F17" s="3" t="s">
        <v>24</v>
      </c>
      <c r="G17" s="3" t="s">
        <v>80</v>
      </c>
      <c r="H17" s="11" t="s">
        <v>26</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c r="A18" s="9" t="s">
        <v>81</v>
      </c>
      <c r="B18" s="3" t="s">
        <v>35</v>
      </c>
      <c r="C18" s="3" t="s">
        <v>29</v>
      </c>
      <c r="D18" s="10">
        <v>45350.7192361111</v>
      </c>
      <c r="E18" s="3" t="s">
        <v>37</v>
      </c>
      <c r="F18" s="3" t="s">
        <v>38</v>
      </c>
      <c r="G18" s="3" t="s">
        <v>39</v>
      </c>
      <c r="H18" s="11" t="s">
        <v>40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c r="A19" s="9" t="s">
        <v>82</v>
      </c>
      <c r="B19" s="3" t="s">
        <v>83</v>
      </c>
      <c r="C19" s="3" t="s">
        <v>36</v>
      </c>
      <c r="D19" s="10">
        <v>45418.7263541667</v>
      </c>
      <c r="E19" s="3" t="s">
        <v>84</v>
      </c>
      <c r="F19" s="3" t="s">
        <v>77</v>
      </c>
      <c r="G19" s="3" t="s">
        <v>85</v>
      </c>
      <c r="H19" s="11" t="s">
        <v>86</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c r="A20" s="9" t="s">
        <v>87</v>
      </c>
      <c r="B20" s="3" t="s">
        <v>35</v>
      </c>
      <c r="C20" s="3" t="s">
        <v>43</v>
      </c>
      <c r="D20" s="10">
        <v>45496.2917013889</v>
      </c>
      <c r="E20" s="3" t="s">
        <v>37</v>
      </c>
      <c r="F20" s="3" t="s">
        <v>38</v>
      </c>
      <c r="G20" s="3" t="s">
        <v>39</v>
      </c>
      <c r="H20" s="11" t="s">
        <v>40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ht="15.75" spans="1:22">
      <c r="A21" s="9" t="s">
        <v>88</v>
      </c>
      <c r="B21" s="12" t="s">
        <v>35</v>
      </c>
      <c r="C21" s="12" t="s">
        <v>43</v>
      </c>
      <c r="D21" s="13">
        <v>45422.7398842593</v>
      </c>
      <c r="E21" s="12" t="s">
        <v>37</v>
      </c>
      <c r="F21" s="12" t="s">
        <v>38</v>
      </c>
      <c r="G21" s="12" t="s">
        <v>85</v>
      </c>
      <c r="H21" s="14" t="s">
        <v>40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ref="B2:H22">
    <sortCondition ref="D1:D22"/>
  </sortState>
  <mergeCells count="2">
    <mergeCell ref="Q1:S1"/>
    <mergeCell ref="T1:V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selection activeCell="A1" sqref="A1"/>
    </sheetView>
  </sheetViews>
  <sheetFormatPr defaultColWidth="9" defaultRowHeight="15"/>
  <cols>
    <col min="1" max="1" width="14.2857142857143" customWidth="1"/>
    <col min="2" max="2" width="18.7142857142857" customWidth="1"/>
    <col min="3" max="3" width="27.2857142857143" style="4" customWidth="1"/>
    <col min="4" max="4" width="16.5714285714286" customWidth="1"/>
    <col min="5" max="5" width="11" customWidth="1"/>
    <col min="6" max="6" width="22" customWidth="1"/>
    <col min="7" max="8" width="40" customWidth="1"/>
    <col min="9" max="9" width="9" customWidth="1"/>
    <col min="10" max="10" width="29.1428571428571" customWidth="1"/>
  </cols>
  <sheetData>
    <row r="1" spans="1:10">
      <c r="A1" s="5" t="s">
        <v>0</v>
      </c>
      <c r="B1" s="6" t="s">
        <v>1</v>
      </c>
      <c r="C1" s="6" t="s">
        <v>2</v>
      </c>
      <c r="D1" s="7" t="s">
        <v>3</v>
      </c>
      <c r="E1" s="6" t="s">
        <v>4</v>
      </c>
      <c r="F1" s="6" t="s">
        <v>5</v>
      </c>
      <c r="G1" s="6" t="s">
        <v>6</v>
      </c>
      <c r="H1" s="8" t="s">
        <v>7</v>
      </c>
      <c r="J1" s="1" t="s">
        <v>8</v>
      </c>
    </row>
    <row r="2" spans="1:10">
      <c r="A2" s="9" t="s">
        <v>13</v>
      </c>
      <c r="B2" s="3" t="s">
        <v>14</v>
      </c>
      <c r="C2" s="3" t="s">
        <v>15</v>
      </c>
      <c r="D2" s="10">
        <v>44971.6404513889</v>
      </c>
      <c r="E2" s="3" t="s">
        <v>16</v>
      </c>
      <c r="F2" s="3" t="s">
        <v>17</v>
      </c>
      <c r="G2" s="3" t="s">
        <v>18</v>
      </c>
      <c r="H2" s="11" t="s">
        <v>19</v>
      </c>
      <c r="J2" t="str">
        <f>_xlfn.TEXTJOIN(" ",TRUE,F2,G2)</f>
        <v>457 Oak St San Jose, CA, 95101</v>
      </c>
    </row>
    <row r="3" spans="1:10">
      <c r="A3" s="9" t="s">
        <v>20</v>
      </c>
      <c r="B3" s="3" t="s">
        <v>21</v>
      </c>
      <c r="C3" s="3" t="s">
        <v>22</v>
      </c>
      <c r="D3" s="10">
        <v>45055.4066203704</v>
      </c>
      <c r="E3" s="3" t="s">
        <v>23</v>
      </c>
      <c r="F3" s="3" t="s">
        <v>24</v>
      </c>
      <c r="G3" s="3" t="s">
        <v>25</v>
      </c>
      <c r="H3" s="11" t="s">
        <v>26</v>
      </c>
      <c r="J3" t="str">
        <f t="shared" ref="J3:J21" si="0">_xlfn.TEXTJOIN(" ",TRUE,F3,G3)</f>
        <v>203 Birch St Chicago, IL, 60601</v>
      </c>
    </row>
    <row r="4" spans="1:10">
      <c r="A4" s="9" t="s">
        <v>27</v>
      </c>
      <c r="B4" s="3" t="s">
        <v>28</v>
      </c>
      <c r="C4" s="3" t="s">
        <v>29</v>
      </c>
      <c r="D4" s="10">
        <v>45128.7297106481</v>
      </c>
      <c r="E4" s="3" t="s">
        <v>30</v>
      </c>
      <c r="F4" s="3" t="s">
        <v>31</v>
      </c>
      <c r="G4" s="3" t="s">
        <v>25</v>
      </c>
      <c r="H4" s="11" t="s">
        <v>32</v>
      </c>
      <c r="J4" t="str">
        <f t="shared" si="0"/>
        <v>790 Pine St Chicago, IL, 60601</v>
      </c>
    </row>
    <row r="5" spans="1:10">
      <c r="A5" s="9" t="s">
        <v>33</v>
      </c>
      <c r="B5" s="3" t="s">
        <v>14</v>
      </c>
      <c r="C5" s="3" t="s">
        <v>22</v>
      </c>
      <c r="D5" s="10">
        <v>45173.3021875</v>
      </c>
      <c r="E5" s="3" t="s">
        <v>16</v>
      </c>
      <c r="F5" s="3" t="s">
        <v>17</v>
      </c>
      <c r="G5" s="3" t="s">
        <v>18</v>
      </c>
      <c r="H5" s="11" t="s">
        <v>19</v>
      </c>
      <c r="J5" t="str">
        <f t="shared" si="0"/>
        <v>457 Oak St San Jose, CA, 95101</v>
      </c>
    </row>
    <row r="6" spans="1:10">
      <c r="A6" s="9" t="s">
        <v>34</v>
      </c>
      <c r="B6" s="3" t="s">
        <v>35</v>
      </c>
      <c r="C6" s="3" t="s">
        <v>36</v>
      </c>
      <c r="D6" s="10">
        <v>45248.7085763889</v>
      </c>
      <c r="E6" s="3" t="s">
        <v>37</v>
      </c>
      <c r="F6" s="3" t="s">
        <v>38</v>
      </c>
      <c r="G6" s="3" t="s">
        <v>39</v>
      </c>
      <c r="H6" s="11" t="s">
        <v>40</v>
      </c>
      <c r="J6" t="str">
        <f t="shared" si="0"/>
        <v>459 Oak St Philadelphia, PA, 19101</v>
      </c>
    </row>
    <row r="7" spans="1:10">
      <c r="A7" s="9" t="s">
        <v>41</v>
      </c>
      <c r="B7" s="3" t="s">
        <v>42</v>
      </c>
      <c r="C7" s="3" t="s">
        <v>43</v>
      </c>
      <c r="D7" s="10">
        <v>45302.5319212963</v>
      </c>
      <c r="E7" s="3" t="s">
        <v>44</v>
      </c>
      <c r="F7" s="3" t="s">
        <v>45</v>
      </c>
      <c r="G7" s="3" t="s">
        <v>39</v>
      </c>
      <c r="H7" s="11" t="s">
        <v>46</v>
      </c>
      <c r="J7" t="str">
        <f t="shared" si="0"/>
        <v>204 Birch St Philadelphia, PA, 19101</v>
      </c>
    </row>
    <row r="8" spans="1:10">
      <c r="A8" s="9" t="s">
        <v>47</v>
      </c>
      <c r="B8" s="3" t="s">
        <v>28</v>
      </c>
      <c r="C8" s="3" t="s">
        <v>22</v>
      </c>
      <c r="D8" s="10">
        <v>45354.6878819444</v>
      </c>
      <c r="E8" s="3" t="s">
        <v>30</v>
      </c>
      <c r="F8" s="3" t="s">
        <v>31</v>
      </c>
      <c r="G8" s="3" t="s">
        <v>25</v>
      </c>
      <c r="H8" s="11" t="s">
        <v>32</v>
      </c>
      <c r="J8" t="str">
        <f t="shared" si="0"/>
        <v>790 Pine St Chicago, IL, 60601</v>
      </c>
    </row>
    <row r="9" spans="1:10">
      <c r="A9" s="9" t="s">
        <v>48</v>
      </c>
      <c r="B9" s="3" t="s">
        <v>42</v>
      </c>
      <c r="C9" s="3" t="s">
        <v>15</v>
      </c>
      <c r="D9" s="10">
        <v>45408.3408101852</v>
      </c>
      <c r="E9" s="3" t="s">
        <v>44</v>
      </c>
      <c r="F9" s="3" t="s">
        <v>45</v>
      </c>
      <c r="G9" s="3" t="s">
        <v>39</v>
      </c>
      <c r="H9" s="11" t="s">
        <v>46</v>
      </c>
      <c r="J9" t="str">
        <f t="shared" si="0"/>
        <v>204 Birch St Philadelphia, PA, 19101</v>
      </c>
    </row>
    <row r="10" spans="1:10">
      <c r="A10" s="9" t="s">
        <v>49</v>
      </c>
      <c r="B10" s="3" t="s">
        <v>50</v>
      </c>
      <c r="C10" s="3" t="s">
        <v>36</v>
      </c>
      <c r="D10" s="10">
        <v>45458.7433333333</v>
      </c>
      <c r="E10" s="3" t="s">
        <v>51</v>
      </c>
      <c r="F10" s="3" t="s">
        <v>52</v>
      </c>
      <c r="G10" s="3" t="s">
        <v>25</v>
      </c>
      <c r="H10" s="11" t="s">
        <v>53</v>
      </c>
      <c r="J10" t="str">
        <f t="shared" si="0"/>
        <v>123 Elm St Chicago, IL, 60601</v>
      </c>
    </row>
    <row r="11" spans="1:10">
      <c r="A11" s="9" t="s">
        <v>54</v>
      </c>
      <c r="B11" s="3" t="s">
        <v>55</v>
      </c>
      <c r="C11" s="3" t="s">
        <v>29</v>
      </c>
      <c r="D11" s="10">
        <v>45480.6080555556</v>
      </c>
      <c r="E11" s="3" t="s">
        <v>56</v>
      </c>
      <c r="F11" s="3" t="s">
        <v>52</v>
      </c>
      <c r="G11" s="3" t="s">
        <v>57</v>
      </c>
      <c r="H11" s="11" t="s">
        <v>58</v>
      </c>
      <c r="J11" t="str">
        <f t="shared" si="0"/>
        <v>123 Elm St Los Angeles, CA, 90001</v>
      </c>
    </row>
    <row r="12" spans="1:10">
      <c r="A12" s="9" t="s">
        <v>59</v>
      </c>
      <c r="B12" s="3" t="s">
        <v>60</v>
      </c>
      <c r="C12" s="3" t="s">
        <v>36</v>
      </c>
      <c r="D12" s="10">
        <v>45455.2849305556</v>
      </c>
      <c r="E12" s="3" t="s">
        <v>61</v>
      </c>
      <c r="F12" s="3" t="s">
        <v>52</v>
      </c>
      <c r="G12" s="3" t="s">
        <v>62</v>
      </c>
      <c r="H12" s="11" t="s">
        <v>63</v>
      </c>
      <c r="J12" t="str">
        <f t="shared" si="0"/>
        <v>123 Elm St San Diego, CA, 92101</v>
      </c>
    </row>
    <row r="13" spans="1:10">
      <c r="A13" s="9" t="s">
        <v>64</v>
      </c>
      <c r="B13" s="3" t="s">
        <v>65</v>
      </c>
      <c r="C13" s="3" t="s">
        <v>43</v>
      </c>
      <c r="D13" s="10">
        <v>44951.5521412037</v>
      </c>
      <c r="E13" s="3" t="s">
        <v>66</v>
      </c>
      <c r="F13" s="3" t="s">
        <v>67</v>
      </c>
      <c r="G13" s="3" t="s">
        <v>25</v>
      </c>
      <c r="H13" s="11" t="s">
        <v>68</v>
      </c>
      <c r="J13" t="str">
        <f t="shared" si="0"/>
        <v>202 Birch St Chicago, IL, 60601</v>
      </c>
    </row>
    <row r="14" spans="1:10">
      <c r="A14" s="9" t="s">
        <v>69</v>
      </c>
      <c r="B14" s="3" t="s">
        <v>42</v>
      </c>
      <c r="C14" s="3" t="s">
        <v>29</v>
      </c>
      <c r="D14" s="10">
        <v>45002.4900347222</v>
      </c>
      <c r="E14" s="3" t="s">
        <v>44</v>
      </c>
      <c r="F14" s="3" t="s">
        <v>45</v>
      </c>
      <c r="G14" s="3" t="s">
        <v>39</v>
      </c>
      <c r="H14" s="11" t="s">
        <v>46</v>
      </c>
      <c r="J14" t="str">
        <f t="shared" si="0"/>
        <v>204 Birch St Philadelphia, PA, 19101</v>
      </c>
    </row>
    <row r="15" spans="1:10">
      <c r="A15" s="9" t="s">
        <v>70</v>
      </c>
      <c r="B15" s="3" t="s">
        <v>71</v>
      </c>
      <c r="C15" s="3" t="s">
        <v>43</v>
      </c>
      <c r="D15" s="10">
        <v>45078.4172569444</v>
      </c>
      <c r="E15" s="3" t="s">
        <v>72</v>
      </c>
      <c r="F15" s="3" t="s">
        <v>52</v>
      </c>
      <c r="G15" s="3" t="s">
        <v>25</v>
      </c>
      <c r="H15" s="11" t="s">
        <v>73</v>
      </c>
      <c r="J15" t="str">
        <f t="shared" si="0"/>
        <v>123 Elm St Chicago, IL, 60601</v>
      </c>
    </row>
    <row r="16" spans="1:10">
      <c r="A16" s="9" t="s">
        <v>74</v>
      </c>
      <c r="B16" s="3" t="s">
        <v>75</v>
      </c>
      <c r="C16" s="3" t="s">
        <v>43</v>
      </c>
      <c r="D16" s="10">
        <v>45168.7293287037</v>
      </c>
      <c r="E16" s="3" t="s">
        <v>76</v>
      </c>
      <c r="F16" s="3" t="s">
        <v>77</v>
      </c>
      <c r="G16" s="3" t="s">
        <v>25</v>
      </c>
      <c r="H16" s="11" t="s">
        <v>78</v>
      </c>
      <c r="J16" t="str">
        <f t="shared" si="0"/>
        <v>456 Oak St Chicago, IL, 60601</v>
      </c>
    </row>
    <row r="17" spans="1:10">
      <c r="A17" s="9" t="s">
        <v>79</v>
      </c>
      <c r="B17" s="3" t="s">
        <v>21</v>
      </c>
      <c r="C17" s="3" t="s">
        <v>36</v>
      </c>
      <c r="D17" s="10">
        <v>45218.3197800926</v>
      </c>
      <c r="E17" s="3" t="s">
        <v>23</v>
      </c>
      <c r="F17" s="3" t="s">
        <v>24</v>
      </c>
      <c r="G17" s="3" t="s">
        <v>80</v>
      </c>
      <c r="H17" s="11" t="s">
        <v>26</v>
      </c>
      <c r="J17" t="str">
        <f t="shared" si="0"/>
        <v>203 Birch St Chicago, IL, 60602</v>
      </c>
    </row>
    <row r="18" spans="1:10">
      <c r="A18" s="9" t="s">
        <v>81</v>
      </c>
      <c r="B18" s="3" t="s">
        <v>35</v>
      </c>
      <c r="C18" s="3" t="s">
        <v>29</v>
      </c>
      <c r="D18" s="10">
        <v>45350.7192361111</v>
      </c>
      <c r="E18" s="3" t="s">
        <v>37</v>
      </c>
      <c r="F18" s="3" t="s">
        <v>38</v>
      </c>
      <c r="G18" s="3" t="s">
        <v>39</v>
      </c>
      <c r="H18" s="11" t="s">
        <v>40</v>
      </c>
      <c r="J18" t="str">
        <f t="shared" si="0"/>
        <v>459 Oak St Philadelphia, PA, 19101</v>
      </c>
    </row>
    <row r="19" spans="1:10">
      <c r="A19" s="9" t="s">
        <v>82</v>
      </c>
      <c r="B19" s="3" t="s">
        <v>83</v>
      </c>
      <c r="C19" s="3" t="s">
        <v>36</v>
      </c>
      <c r="D19" s="10">
        <v>45418.7263541667</v>
      </c>
      <c r="E19" s="3" t="s">
        <v>84</v>
      </c>
      <c r="F19" s="3" t="s">
        <v>77</v>
      </c>
      <c r="G19" s="3" t="s">
        <v>85</v>
      </c>
      <c r="H19" s="11" t="s">
        <v>86</v>
      </c>
      <c r="J19" t="str">
        <f t="shared" si="0"/>
        <v>456 Oak St New York, NY, 10001</v>
      </c>
    </row>
    <row r="20" spans="1:10">
      <c r="A20" s="9" t="s">
        <v>87</v>
      </c>
      <c r="B20" s="3" t="s">
        <v>35</v>
      </c>
      <c r="C20" s="3" t="s">
        <v>43</v>
      </c>
      <c r="D20" s="10">
        <v>45496.2917013889</v>
      </c>
      <c r="E20" s="3" t="s">
        <v>37</v>
      </c>
      <c r="F20" s="3" t="s">
        <v>38</v>
      </c>
      <c r="G20" s="3" t="s">
        <v>39</v>
      </c>
      <c r="H20" s="11" t="s">
        <v>40</v>
      </c>
      <c r="J20" t="str">
        <f t="shared" si="0"/>
        <v>459 Oak St Philadelphia, PA, 19101</v>
      </c>
    </row>
    <row r="21" ht="15.75" spans="1:10">
      <c r="A21" s="9" t="s">
        <v>88</v>
      </c>
      <c r="B21" s="12" t="s">
        <v>35</v>
      </c>
      <c r="C21" s="12" t="s">
        <v>43</v>
      </c>
      <c r="D21" s="13">
        <v>45422.7398842593</v>
      </c>
      <c r="E21" s="12" t="s">
        <v>37</v>
      </c>
      <c r="F21" s="12" t="s">
        <v>38</v>
      </c>
      <c r="G21" s="12" t="s">
        <v>85</v>
      </c>
      <c r="H21" s="14" t="s">
        <v>40</v>
      </c>
      <c r="J21" t="str">
        <f t="shared" si="0"/>
        <v>459 Oak St New York, NY, 10001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topLeftCell="C1" workbookViewId="0">
      <selection activeCell="L17" sqref="L17"/>
    </sheetView>
  </sheetViews>
  <sheetFormatPr defaultColWidth="9" defaultRowHeight="15"/>
  <cols>
    <col min="1" max="1" width="14.2857142857143" customWidth="1"/>
    <col min="2" max="2" width="23.4285714285714" customWidth="1"/>
    <col min="3" max="3" width="29" style="4" customWidth="1"/>
    <col min="4" max="4" width="16" customWidth="1"/>
    <col min="5" max="5" width="11.8571428571429" customWidth="1"/>
    <col min="6" max="6" width="22" customWidth="1"/>
    <col min="7" max="8" width="40" customWidth="1"/>
    <col min="9" max="9" width="10.5714285714286" customWidth="1"/>
    <col min="10" max="10" width="10.1428571428571" customWidth="1"/>
    <col min="12" max="12" width="27.2857142857143" customWidth="1"/>
    <col min="13" max="13" width="17.7142857142857" customWidth="1"/>
    <col min="14" max="14" width="18.5714285714286" customWidth="1"/>
  </cols>
  <sheetData>
    <row r="1" spans="1:14">
      <c r="A1" s="5" t="s">
        <v>0</v>
      </c>
      <c r="B1" s="6" t="s">
        <v>1</v>
      </c>
      <c r="C1" s="6" t="s">
        <v>2</v>
      </c>
      <c r="D1" s="7" t="s">
        <v>3</v>
      </c>
      <c r="E1" s="6" t="s">
        <v>4</v>
      </c>
      <c r="F1" s="6" t="s">
        <v>5</v>
      </c>
      <c r="G1" s="6" t="s">
        <v>6</v>
      </c>
      <c r="H1" s="8" t="s">
        <v>7</v>
      </c>
      <c r="I1" s="1" t="s">
        <v>9</v>
      </c>
      <c r="J1" s="1" t="s">
        <v>10</v>
      </c>
      <c r="K1" s="16"/>
      <c r="L1" s="1" t="s">
        <v>89</v>
      </c>
      <c r="M1" s="1" t="s">
        <v>90</v>
      </c>
      <c r="N1" s="1" t="s">
        <v>11</v>
      </c>
    </row>
    <row r="2" spans="1:14">
      <c r="A2" s="9" t="s">
        <v>13</v>
      </c>
      <c r="B2" s="3" t="s">
        <v>14</v>
      </c>
      <c r="C2" s="3" t="s">
        <v>15</v>
      </c>
      <c r="D2" s="10">
        <v>44971.6404513889</v>
      </c>
      <c r="E2" s="3" t="s">
        <v>16</v>
      </c>
      <c r="F2" s="3" t="s">
        <v>17</v>
      </c>
      <c r="G2" s="3" t="s">
        <v>18</v>
      </c>
      <c r="H2" s="11" t="s">
        <v>19</v>
      </c>
      <c r="I2" t="str" cm="1">
        <f t="array" ref="I2:J2">_xlfn.TEXTSPLIT(B2," ")</f>
        <v>Pam</v>
      </c>
      <c r="J2" t="str">
        <v>Beesly</v>
      </c>
      <c r="L2" t="str" cm="1">
        <f t="array" ref="L2:L6">_xlfn.UNIQUE(C2:C21)</f>
        <v>Data Analyst</v>
      </c>
      <c r="M2" t="b">
        <f>IF(LEN(A2)=10,TRUE,FALSE)</f>
        <v>1</v>
      </c>
      <c r="N2" t="str">
        <f>RIGHT(A2,7)</f>
        <v>0123548</v>
      </c>
    </row>
    <row r="3" spans="1:14">
      <c r="A3" s="9" t="s">
        <v>20</v>
      </c>
      <c r="B3" s="3" t="s">
        <v>21</v>
      </c>
      <c r="C3" s="3" t="s">
        <v>22</v>
      </c>
      <c r="D3" s="10">
        <v>45055.4066203704</v>
      </c>
      <c r="E3" s="3" t="s">
        <v>23</v>
      </c>
      <c r="F3" s="3" t="s">
        <v>24</v>
      </c>
      <c r="G3" s="3" t="s">
        <v>25</v>
      </c>
      <c r="H3" s="11" t="s">
        <v>26</v>
      </c>
      <c r="I3" t="str" cm="1">
        <f t="array" ref="I3:J3">_xlfn.TEXTSPLIT(B3," ")</f>
        <v>Michael</v>
      </c>
      <c r="J3" t="str">
        <v>Scott</v>
      </c>
      <c r="L3" t="str">
        <v>Business Intelligence Analyst</v>
      </c>
      <c r="M3" t="b">
        <f t="shared" ref="M3:M21" si="0">IF(LEN(A3)=10,TRUE,FALSE)</f>
        <v>1</v>
      </c>
      <c r="N3" t="str">
        <f t="shared" ref="N3:N21" si="1">RIGHT(A3,7)</f>
        <v>0123549</v>
      </c>
    </row>
    <row r="4" spans="1:14">
      <c r="A4" s="9" t="s">
        <v>27</v>
      </c>
      <c r="B4" s="3" t="s">
        <v>28</v>
      </c>
      <c r="C4" s="3" t="s">
        <v>29</v>
      </c>
      <c r="D4" s="10">
        <v>45128.7297106481</v>
      </c>
      <c r="E4" s="3" t="s">
        <v>30</v>
      </c>
      <c r="F4" s="3" t="s">
        <v>31</v>
      </c>
      <c r="G4" s="3" t="s">
        <v>25</v>
      </c>
      <c r="H4" s="11" t="s">
        <v>32</v>
      </c>
      <c r="I4" t="str" cm="1">
        <f t="array" ref="I4:J4">_xlfn.TEXTSPLIT(B4," ")</f>
        <v>Kevin</v>
      </c>
      <c r="J4" t="str">
        <v>Malone</v>
      </c>
      <c r="L4" t="str">
        <v>Data Engineer</v>
      </c>
      <c r="M4" t="b">
        <f t="shared" si="0"/>
        <v>1</v>
      </c>
      <c r="N4" t="str">
        <f t="shared" si="1"/>
        <v>0123550</v>
      </c>
    </row>
    <row r="5" spans="1:14">
      <c r="A5" s="9" t="s">
        <v>33</v>
      </c>
      <c r="B5" s="3" t="s">
        <v>14</v>
      </c>
      <c r="C5" s="3" t="s">
        <v>22</v>
      </c>
      <c r="D5" s="10">
        <v>45173.3021875</v>
      </c>
      <c r="E5" s="3" t="s">
        <v>16</v>
      </c>
      <c r="F5" s="3" t="s">
        <v>17</v>
      </c>
      <c r="G5" s="3" t="s">
        <v>18</v>
      </c>
      <c r="H5" s="11" t="s">
        <v>19</v>
      </c>
      <c r="I5" t="str" cm="1">
        <f t="array" ref="I5:J5">_xlfn.TEXTSPLIT(B5," ")</f>
        <v>Pam</v>
      </c>
      <c r="J5" t="str">
        <v>Beesly</v>
      </c>
      <c r="L5" t="str">
        <v>Data Scientist</v>
      </c>
      <c r="M5" t="b">
        <f t="shared" si="0"/>
        <v>1</v>
      </c>
      <c r="N5" t="str">
        <f t="shared" si="1"/>
        <v>0123551</v>
      </c>
    </row>
    <row r="6" spans="1:14">
      <c r="A6" s="9" t="s">
        <v>34</v>
      </c>
      <c r="B6" s="3" t="s">
        <v>35</v>
      </c>
      <c r="C6" s="3" t="s">
        <v>36</v>
      </c>
      <c r="D6" s="10">
        <v>45248.7085763889</v>
      </c>
      <c r="E6" s="3" t="s">
        <v>37</v>
      </c>
      <c r="F6" s="3" t="s">
        <v>38</v>
      </c>
      <c r="G6" s="3" t="s">
        <v>39</v>
      </c>
      <c r="H6" s="11" t="s">
        <v>40</v>
      </c>
      <c r="I6" t="str" cm="1">
        <f t="array" ref="I6:J6">_xlfn.TEXTSPLIT(B6," ")</f>
        <v>Jim</v>
      </c>
      <c r="J6" t="str">
        <v>Halpert</v>
      </c>
      <c r="L6" t="str">
        <v>Machine Learning Engineer</v>
      </c>
      <c r="M6" t="b">
        <f t="shared" si="0"/>
        <v>1</v>
      </c>
      <c r="N6" t="str">
        <f t="shared" si="1"/>
        <v>0123552</v>
      </c>
    </row>
    <row r="7" spans="1:14">
      <c r="A7" s="9" t="s">
        <v>41</v>
      </c>
      <c r="B7" s="3" t="s">
        <v>42</v>
      </c>
      <c r="C7" s="3" t="s">
        <v>43</v>
      </c>
      <c r="D7" s="10">
        <v>45302.5319212963</v>
      </c>
      <c r="E7" s="3" t="s">
        <v>44</v>
      </c>
      <c r="F7" s="3" t="s">
        <v>45</v>
      </c>
      <c r="G7" s="3" t="s">
        <v>39</v>
      </c>
      <c r="H7" s="11" t="s">
        <v>46</v>
      </c>
      <c r="I7" t="str" cm="1">
        <f t="array" ref="I7:J7">_xlfn.TEXTSPLIT(B7," ")</f>
        <v>Ryan</v>
      </c>
      <c r="J7" t="str">
        <v>Howard</v>
      </c>
      <c r="M7" t="b">
        <f t="shared" si="0"/>
        <v>1</v>
      </c>
      <c r="N7" t="str">
        <f t="shared" si="1"/>
        <v>0123553</v>
      </c>
    </row>
    <row r="8" spans="1:14">
      <c r="A8" s="9" t="s">
        <v>47</v>
      </c>
      <c r="B8" s="3" t="s">
        <v>28</v>
      </c>
      <c r="C8" s="3" t="s">
        <v>22</v>
      </c>
      <c r="D8" s="10">
        <v>45354.6878819444</v>
      </c>
      <c r="E8" s="3" t="s">
        <v>30</v>
      </c>
      <c r="F8" s="3" t="s">
        <v>31</v>
      </c>
      <c r="G8" s="3" t="s">
        <v>25</v>
      </c>
      <c r="H8" s="11" t="s">
        <v>32</v>
      </c>
      <c r="I8" t="str" cm="1">
        <f t="array" ref="I8:J8">_xlfn.TEXTSPLIT(B8," ")</f>
        <v>Kevin</v>
      </c>
      <c r="J8" t="str">
        <v>Malone</v>
      </c>
      <c r="M8" t="b">
        <f t="shared" si="0"/>
        <v>1</v>
      </c>
      <c r="N8" t="str">
        <f t="shared" si="1"/>
        <v>0123554</v>
      </c>
    </row>
    <row r="9" spans="1:14">
      <c r="A9" s="9" t="s">
        <v>48</v>
      </c>
      <c r="B9" s="3" t="s">
        <v>42</v>
      </c>
      <c r="C9" s="3" t="s">
        <v>15</v>
      </c>
      <c r="D9" s="10">
        <v>45408.3408101852</v>
      </c>
      <c r="E9" s="3" t="s">
        <v>44</v>
      </c>
      <c r="F9" s="3" t="s">
        <v>45</v>
      </c>
      <c r="G9" s="3" t="s">
        <v>39</v>
      </c>
      <c r="H9" s="11" t="s">
        <v>46</v>
      </c>
      <c r="I9" t="str" cm="1">
        <f t="array" ref="I9:J9">_xlfn.TEXTSPLIT(B9," ")</f>
        <v>Ryan</v>
      </c>
      <c r="J9" t="str">
        <v>Howard</v>
      </c>
      <c r="M9" t="b">
        <f t="shared" si="0"/>
        <v>1</v>
      </c>
      <c r="N9" t="str">
        <f t="shared" si="1"/>
        <v>0123555</v>
      </c>
    </row>
    <row r="10" spans="1:14">
      <c r="A10" s="9" t="s">
        <v>49</v>
      </c>
      <c r="B10" s="3" t="s">
        <v>50</v>
      </c>
      <c r="C10" s="3" t="s">
        <v>36</v>
      </c>
      <c r="D10" s="10">
        <v>45458.7433333333</v>
      </c>
      <c r="E10" s="3" t="s">
        <v>51</v>
      </c>
      <c r="F10" s="3" t="s">
        <v>52</v>
      </c>
      <c r="G10" s="3" t="s">
        <v>25</v>
      </c>
      <c r="H10" s="11" t="s">
        <v>53</v>
      </c>
      <c r="I10" t="str" cm="1">
        <f t="array" ref="I10:J10">_xlfn.TEXTSPLIT(B10," ")</f>
        <v>Stanley</v>
      </c>
      <c r="J10" t="str">
        <v>Hudson</v>
      </c>
      <c r="M10" t="b">
        <f t="shared" si="0"/>
        <v>1</v>
      </c>
      <c r="N10" t="str">
        <f t="shared" si="1"/>
        <v>0123556</v>
      </c>
    </row>
    <row r="11" spans="1:14">
      <c r="A11" s="9" t="s">
        <v>54</v>
      </c>
      <c r="B11" s="3" t="s">
        <v>55</v>
      </c>
      <c r="C11" s="3" t="s">
        <v>29</v>
      </c>
      <c r="D11" s="10">
        <v>45480.6080555556</v>
      </c>
      <c r="E11" s="3" t="s">
        <v>56</v>
      </c>
      <c r="F11" s="3" t="s">
        <v>52</v>
      </c>
      <c r="G11" s="3" t="s">
        <v>57</v>
      </c>
      <c r="H11" s="11" t="s">
        <v>58</v>
      </c>
      <c r="I11" t="str" cm="1">
        <f t="array" ref="I11:J11">_xlfn.TEXTSPLIT(B11," ")</f>
        <v>Angela</v>
      </c>
      <c r="J11" t="str">
        <v>Martin</v>
      </c>
      <c r="M11" t="b">
        <f t="shared" si="0"/>
        <v>1</v>
      </c>
      <c r="N11" t="str">
        <f t="shared" si="1"/>
        <v>0123557</v>
      </c>
    </row>
    <row r="12" spans="1:14">
      <c r="A12" s="9" t="s">
        <v>59</v>
      </c>
      <c r="B12" s="3" t="s">
        <v>60</v>
      </c>
      <c r="C12" s="3" t="s">
        <v>36</v>
      </c>
      <c r="D12" s="10">
        <v>45455.2849305556</v>
      </c>
      <c r="E12" s="3" t="s">
        <v>61</v>
      </c>
      <c r="F12" s="3" t="s">
        <v>52</v>
      </c>
      <c r="G12" s="3" t="s">
        <v>62</v>
      </c>
      <c r="H12" s="11" t="s">
        <v>63</v>
      </c>
      <c r="I12" t="str" cm="1">
        <f t="array" ref="I12:J12">_xlfn.TEXTSPLIT(B12," ")</f>
        <v>Dwight</v>
      </c>
      <c r="J12" t="str">
        <v>Schrute</v>
      </c>
      <c r="M12" t="b">
        <f t="shared" si="0"/>
        <v>1</v>
      </c>
      <c r="N12" t="str">
        <f t="shared" si="1"/>
        <v>0123558</v>
      </c>
    </row>
    <row r="13" spans="1:14">
      <c r="A13" s="9" t="s">
        <v>64</v>
      </c>
      <c r="B13" s="3" t="s">
        <v>65</v>
      </c>
      <c r="C13" s="3" t="s">
        <v>43</v>
      </c>
      <c r="D13" s="10">
        <v>44951.5521412037</v>
      </c>
      <c r="E13" s="3" t="s">
        <v>66</v>
      </c>
      <c r="F13" s="3" t="s">
        <v>67</v>
      </c>
      <c r="G13" s="3" t="s">
        <v>25</v>
      </c>
      <c r="H13" s="11" t="s">
        <v>68</v>
      </c>
      <c r="I13" t="str" cm="1">
        <f t="array" ref="I13:J13">_xlfn.TEXTSPLIT(B13," ")</f>
        <v>Oscar</v>
      </c>
      <c r="J13" t="str">
        <v>Martinez</v>
      </c>
      <c r="M13" t="b">
        <f t="shared" si="0"/>
        <v>1</v>
      </c>
      <c r="N13" t="str">
        <f t="shared" si="1"/>
        <v>0123559</v>
      </c>
    </row>
    <row r="14" spans="1:14">
      <c r="A14" s="9" t="s">
        <v>69</v>
      </c>
      <c r="B14" s="3" t="s">
        <v>42</v>
      </c>
      <c r="C14" s="3" t="s">
        <v>29</v>
      </c>
      <c r="D14" s="10">
        <v>45002.4900347222</v>
      </c>
      <c r="E14" s="3" t="s">
        <v>44</v>
      </c>
      <c r="F14" s="3" t="s">
        <v>45</v>
      </c>
      <c r="G14" s="3" t="s">
        <v>39</v>
      </c>
      <c r="H14" s="11" t="s">
        <v>46</v>
      </c>
      <c r="I14" t="str" cm="1">
        <f t="array" ref="I14:J14">_xlfn.TEXTSPLIT(B14," ")</f>
        <v>Ryan</v>
      </c>
      <c r="J14" t="str">
        <v>Howard</v>
      </c>
      <c r="M14" t="b">
        <f t="shared" si="0"/>
        <v>1</v>
      </c>
      <c r="N14" t="str">
        <f t="shared" si="1"/>
        <v>0123560</v>
      </c>
    </row>
    <row r="15" spans="1:14">
      <c r="A15" s="9" t="s">
        <v>70</v>
      </c>
      <c r="B15" s="3" t="s">
        <v>71</v>
      </c>
      <c r="C15" s="3" t="s">
        <v>43</v>
      </c>
      <c r="D15" s="10">
        <v>45078.4172569444</v>
      </c>
      <c r="E15" s="3" t="s">
        <v>72</v>
      </c>
      <c r="F15" s="3" t="s">
        <v>52</v>
      </c>
      <c r="G15" s="3" t="s">
        <v>25</v>
      </c>
      <c r="H15" s="11" t="s">
        <v>73</v>
      </c>
      <c r="I15" t="str" cm="1">
        <f t="array" ref="I15:J15">_xlfn.TEXTSPLIT(B15," ")</f>
        <v>Phyllis</v>
      </c>
      <c r="J15" t="str">
        <v>Vance</v>
      </c>
      <c r="M15" t="b">
        <f t="shared" si="0"/>
        <v>1</v>
      </c>
      <c r="N15" t="str">
        <f t="shared" si="1"/>
        <v>0123561</v>
      </c>
    </row>
    <row r="16" spans="1:14">
      <c r="A16" s="9" t="s">
        <v>74</v>
      </c>
      <c r="B16" s="3" t="s">
        <v>75</v>
      </c>
      <c r="C16" s="3" t="s">
        <v>43</v>
      </c>
      <c r="D16" s="10">
        <v>45168.7293287037</v>
      </c>
      <c r="E16" s="3" t="s">
        <v>76</v>
      </c>
      <c r="F16" s="3" t="s">
        <v>77</v>
      </c>
      <c r="G16" s="3" t="s">
        <v>25</v>
      </c>
      <c r="H16" s="11" t="s">
        <v>78</v>
      </c>
      <c r="I16" t="str" cm="1">
        <f t="array" ref="I16:J16">_xlfn.TEXTSPLIT(B16," ")</f>
        <v>Meredith</v>
      </c>
      <c r="J16" t="str">
        <v>Palmer</v>
      </c>
      <c r="M16" t="b">
        <f t="shared" si="0"/>
        <v>1</v>
      </c>
      <c r="N16" t="str">
        <f t="shared" si="1"/>
        <v>0123562</v>
      </c>
    </row>
    <row r="17" spans="1:14">
      <c r="A17" s="9" t="s">
        <v>79</v>
      </c>
      <c r="B17" s="3" t="s">
        <v>21</v>
      </c>
      <c r="C17" s="3" t="s">
        <v>36</v>
      </c>
      <c r="D17" s="10">
        <v>45218.3197800926</v>
      </c>
      <c r="E17" s="3" t="s">
        <v>23</v>
      </c>
      <c r="F17" s="3" t="s">
        <v>24</v>
      </c>
      <c r="G17" s="3" t="s">
        <v>80</v>
      </c>
      <c r="H17" s="11" t="s">
        <v>26</v>
      </c>
      <c r="I17" t="str" cm="1">
        <f t="array" ref="I17:J17">_xlfn.TEXTSPLIT(B17," ")</f>
        <v>Michael</v>
      </c>
      <c r="J17" t="str">
        <v>Scott</v>
      </c>
      <c r="M17" t="b">
        <f t="shared" si="0"/>
        <v>1</v>
      </c>
      <c r="N17" t="str">
        <f t="shared" si="1"/>
        <v>0123563</v>
      </c>
    </row>
    <row r="18" spans="1:14">
      <c r="A18" s="9" t="s">
        <v>81</v>
      </c>
      <c r="B18" s="3" t="s">
        <v>35</v>
      </c>
      <c r="C18" s="3" t="s">
        <v>29</v>
      </c>
      <c r="D18" s="10">
        <v>45350.7192361111</v>
      </c>
      <c r="E18" s="3" t="s">
        <v>37</v>
      </c>
      <c r="F18" s="3" t="s">
        <v>38</v>
      </c>
      <c r="G18" s="3" t="s">
        <v>39</v>
      </c>
      <c r="H18" s="11" t="s">
        <v>40</v>
      </c>
      <c r="I18" t="str" cm="1">
        <f t="array" ref="I18:J18">_xlfn.TEXTSPLIT(B18," ")</f>
        <v>Jim</v>
      </c>
      <c r="J18" t="str">
        <v>Halpert</v>
      </c>
      <c r="M18" t="b">
        <f t="shared" si="0"/>
        <v>1</v>
      </c>
      <c r="N18" t="str">
        <f t="shared" si="1"/>
        <v>0123564</v>
      </c>
    </row>
    <row r="19" spans="1:14">
      <c r="A19" s="9" t="s">
        <v>82</v>
      </c>
      <c r="B19" s="3" t="s">
        <v>83</v>
      </c>
      <c r="C19" s="3" t="s">
        <v>36</v>
      </c>
      <c r="D19" s="10">
        <v>45418.7263541667</v>
      </c>
      <c r="E19" s="3" t="s">
        <v>84</v>
      </c>
      <c r="F19" s="3" t="s">
        <v>77</v>
      </c>
      <c r="G19" s="3" t="s">
        <v>85</v>
      </c>
      <c r="H19" s="11" t="s">
        <v>86</v>
      </c>
      <c r="I19" t="str" cm="1">
        <f t="array" ref="I19:J19">_xlfn.TEXTSPLIT(B19," ")</f>
        <v>Kelly</v>
      </c>
      <c r="J19" t="str">
        <v>Kapoor</v>
      </c>
      <c r="M19" t="b">
        <f t="shared" si="0"/>
        <v>1</v>
      </c>
      <c r="N19" t="str">
        <f t="shared" si="1"/>
        <v>0123565</v>
      </c>
    </row>
    <row r="20" spans="1:14">
      <c r="A20" s="9" t="s">
        <v>87</v>
      </c>
      <c r="B20" s="3" t="s">
        <v>35</v>
      </c>
      <c r="C20" s="3" t="s">
        <v>43</v>
      </c>
      <c r="D20" s="10">
        <v>45496.2917013889</v>
      </c>
      <c r="E20" s="3" t="s">
        <v>37</v>
      </c>
      <c r="F20" s="3" t="s">
        <v>38</v>
      </c>
      <c r="G20" s="3" t="s">
        <v>39</v>
      </c>
      <c r="H20" s="11" t="s">
        <v>40</v>
      </c>
      <c r="I20" t="str" cm="1">
        <f t="array" ref="I20:J20">_xlfn.TEXTSPLIT(B20," ")</f>
        <v>Jim</v>
      </c>
      <c r="J20" t="str">
        <v>Halpert</v>
      </c>
      <c r="M20" t="b">
        <f t="shared" si="0"/>
        <v>1</v>
      </c>
      <c r="N20" t="str">
        <f t="shared" si="1"/>
        <v>0123566</v>
      </c>
    </row>
    <row r="21" ht="15.75" spans="1:14">
      <c r="A21" s="9" t="s">
        <v>88</v>
      </c>
      <c r="B21" s="12" t="s">
        <v>35</v>
      </c>
      <c r="C21" s="12" t="s">
        <v>43</v>
      </c>
      <c r="D21" s="13">
        <v>45422.7398842593</v>
      </c>
      <c r="E21" s="12" t="s">
        <v>37</v>
      </c>
      <c r="F21" s="12" t="s">
        <v>38</v>
      </c>
      <c r="G21" s="12" t="s">
        <v>85</v>
      </c>
      <c r="H21" s="14" t="s">
        <v>40</v>
      </c>
      <c r="I21" t="str" cm="1">
        <f t="array" ref="I21:J21">_xlfn.TEXTSPLIT(B21," ")</f>
        <v>Jim</v>
      </c>
      <c r="J21" t="str">
        <v>Halpert</v>
      </c>
      <c r="M21" t="b">
        <f t="shared" si="0"/>
        <v>1</v>
      </c>
      <c r="N21" t="str">
        <f t="shared" si="1"/>
        <v>0123567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A1" sqref="A1"/>
    </sheetView>
  </sheetViews>
  <sheetFormatPr defaultColWidth="9" defaultRowHeight="15"/>
  <cols>
    <col min="1" max="1" width="14.2857142857143" customWidth="1"/>
    <col min="2" max="2" width="23.4285714285714" customWidth="1"/>
    <col min="3" max="3" width="14" style="4" customWidth="1"/>
    <col min="4" max="4" width="16.1428571428571" customWidth="1"/>
    <col min="5" max="5" width="26.1428571428571" customWidth="1"/>
    <col min="6" max="6" width="22" customWidth="1"/>
    <col min="7" max="7" width="37" customWidth="1"/>
    <col min="8" max="8" width="40" hidden="1" customWidth="1"/>
    <col min="9" max="9" width="11.5714285714286" hidden="1" customWidth="1"/>
    <col min="10" max="10" width="9.14285714285714" customWidth="1"/>
  </cols>
  <sheetData>
    <row r="1" spans="1:12">
      <c r="A1" s="5" t="s">
        <v>0</v>
      </c>
      <c r="B1" s="6" t="s">
        <v>1</v>
      </c>
      <c r="C1" s="6" t="s">
        <v>2</v>
      </c>
      <c r="D1" s="7" t="s">
        <v>3</v>
      </c>
      <c r="E1" s="6" t="s">
        <v>4</v>
      </c>
      <c r="F1" s="6" t="s">
        <v>5</v>
      </c>
      <c r="G1" s="6" t="s">
        <v>6</v>
      </c>
      <c r="H1" s="8" t="s">
        <v>7</v>
      </c>
      <c r="J1" s="15" t="s">
        <v>12</v>
      </c>
      <c r="K1" s="15"/>
      <c r="L1" s="15"/>
    </row>
    <row r="2" spans="1:12">
      <c r="A2" s="9" t="s">
        <v>13</v>
      </c>
      <c r="B2" s="3" t="s">
        <v>14</v>
      </c>
      <c r="C2" s="3" t="s">
        <v>15</v>
      </c>
      <c r="D2" s="10">
        <v>44971.6404513889</v>
      </c>
      <c r="E2" s="3" t="s">
        <v>16</v>
      </c>
      <c r="F2" s="3" t="s">
        <v>17</v>
      </c>
      <c r="G2" s="3" t="s">
        <v>18</v>
      </c>
      <c r="H2" s="11" t="s">
        <v>19</v>
      </c>
      <c r="J2">
        <f>FIND(", ",G2)+LEN(", ")</f>
        <v>11</v>
      </c>
      <c r="K2">
        <f>FIND(", ",G2,J2)</f>
        <v>13</v>
      </c>
      <c r="L2" t="str">
        <f>MID(G2,J2,K2-J2)</f>
        <v>CA</v>
      </c>
    </row>
    <row r="3" spans="1:12">
      <c r="A3" s="9" t="s">
        <v>20</v>
      </c>
      <c r="B3" s="3" t="s">
        <v>21</v>
      </c>
      <c r="C3" s="3" t="s">
        <v>22</v>
      </c>
      <c r="D3" s="10">
        <v>45055.4066203704</v>
      </c>
      <c r="E3" s="3" t="s">
        <v>23</v>
      </c>
      <c r="F3" s="3" t="s">
        <v>24</v>
      </c>
      <c r="G3" s="3" t="s">
        <v>25</v>
      </c>
      <c r="H3" s="11" t="s">
        <v>26</v>
      </c>
      <c r="J3">
        <f t="shared" ref="J3:J21" si="0">FIND(", ",G3)+LEN(", ")</f>
        <v>10</v>
      </c>
      <c r="K3">
        <f t="shared" ref="K3:K21" si="1">FIND(", ",G3,J3)</f>
        <v>12</v>
      </c>
      <c r="L3" t="str">
        <f t="shared" ref="L3:L21" si="2">MID(G3,J3,K3-J3)</f>
        <v>IL</v>
      </c>
    </row>
    <row r="4" spans="1:12">
      <c r="A4" s="9" t="s">
        <v>27</v>
      </c>
      <c r="B4" s="3" t="s">
        <v>28</v>
      </c>
      <c r="C4" s="3" t="s">
        <v>29</v>
      </c>
      <c r="D4" s="10">
        <v>45128.7297106481</v>
      </c>
      <c r="E4" s="3" t="s">
        <v>30</v>
      </c>
      <c r="F4" s="3" t="s">
        <v>31</v>
      </c>
      <c r="G4" s="3" t="s">
        <v>25</v>
      </c>
      <c r="H4" s="11" t="s">
        <v>32</v>
      </c>
      <c r="J4">
        <f t="shared" si="0"/>
        <v>10</v>
      </c>
      <c r="K4">
        <f t="shared" si="1"/>
        <v>12</v>
      </c>
      <c r="L4" t="str">
        <f t="shared" si="2"/>
        <v>IL</v>
      </c>
    </row>
    <row r="5" spans="1:12">
      <c r="A5" s="9" t="s">
        <v>33</v>
      </c>
      <c r="B5" s="3" t="s">
        <v>14</v>
      </c>
      <c r="C5" s="3" t="s">
        <v>22</v>
      </c>
      <c r="D5" s="10">
        <v>45173.3021875</v>
      </c>
      <c r="E5" s="3" t="s">
        <v>16</v>
      </c>
      <c r="F5" s="3" t="s">
        <v>17</v>
      </c>
      <c r="G5" s="3" t="s">
        <v>18</v>
      </c>
      <c r="H5" s="11" t="s">
        <v>19</v>
      </c>
      <c r="J5">
        <f t="shared" si="0"/>
        <v>11</v>
      </c>
      <c r="K5">
        <f t="shared" si="1"/>
        <v>13</v>
      </c>
      <c r="L5" t="str">
        <f t="shared" si="2"/>
        <v>CA</v>
      </c>
    </row>
    <row r="6" spans="1:12">
      <c r="A6" s="9" t="s">
        <v>34</v>
      </c>
      <c r="B6" s="3" t="s">
        <v>35</v>
      </c>
      <c r="C6" s="3" t="s">
        <v>36</v>
      </c>
      <c r="D6" s="10">
        <v>45248.7085763889</v>
      </c>
      <c r="E6" s="3" t="s">
        <v>37</v>
      </c>
      <c r="F6" s="3" t="s">
        <v>38</v>
      </c>
      <c r="G6" s="3" t="s">
        <v>39</v>
      </c>
      <c r="H6" s="11" t="s">
        <v>40</v>
      </c>
      <c r="J6">
        <f t="shared" si="0"/>
        <v>15</v>
      </c>
      <c r="K6">
        <f t="shared" si="1"/>
        <v>17</v>
      </c>
      <c r="L6" t="str">
        <f t="shared" si="2"/>
        <v>PA</v>
      </c>
    </row>
    <row r="7" spans="1:12">
      <c r="A7" s="9" t="s">
        <v>41</v>
      </c>
      <c r="B7" s="3" t="s">
        <v>42</v>
      </c>
      <c r="C7" s="3" t="s">
        <v>43</v>
      </c>
      <c r="D7" s="10">
        <v>45302.5319212963</v>
      </c>
      <c r="E7" s="3" t="s">
        <v>44</v>
      </c>
      <c r="F7" s="3" t="s">
        <v>45</v>
      </c>
      <c r="G7" s="3" t="s">
        <v>39</v>
      </c>
      <c r="H7" s="11" t="s">
        <v>46</v>
      </c>
      <c r="J7">
        <f t="shared" si="0"/>
        <v>15</v>
      </c>
      <c r="K7">
        <f t="shared" si="1"/>
        <v>17</v>
      </c>
      <c r="L7" t="str">
        <f t="shared" si="2"/>
        <v>PA</v>
      </c>
    </row>
    <row r="8" spans="1:12">
      <c r="A8" s="9" t="s">
        <v>47</v>
      </c>
      <c r="B8" s="3" t="s">
        <v>28</v>
      </c>
      <c r="C8" s="3" t="s">
        <v>22</v>
      </c>
      <c r="D8" s="10">
        <v>45354.6878819444</v>
      </c>
      <c r="E8" s="3" t="s">
        <v>30</v>
      </c>
      <c r="F8" s="3" t="s">
        <v>31</v>
      </c>
      <c r="G8" s="3" t="s">
        <v>25</v>
      </c>
      <c r="H8" s="11" t="s">
        <v>32</v>
      </c>
      <c r="J8">
        <f t="shared" si="0"/>
        <v>10</v>
      </c>
      <c r="K8">
        <f t="shared" si="1"/>
        <v>12</v>
      </c>
      <c r="L8" t="str">
        <f t="shared" si="2"/>
        <v>IL</v>
      </c>
    </row>
    <row r="9" spans="1:12">
      <c r="A9" s="9" t="s">
        <v>48</v>
      </c>
      <c r="B9" s="3" t="s">
        <v>42</v>
      </c>
      <c r="C9" s="3" t="s">
        <v>15</v>
      </c>
      <c r="D9" s="10">
        <v>45408.3408101852</v>
      </c>
      <c r="E9" s="3" t="s">
        <v>44</v>
      </c>
      <c r="F9" s="3" t="s">
        <v>45</v>
      </c>
      <c r="G9" s="3" t="s">
        <v>39</v>
      </c>
      <c r="H9" s="11" t="s">
        <v>46</v>
      </c>
      <c r="J9">
        <f t="shared" si="0"/>
        <v>15</v>
      </c>
      <c r="K9">
        <f t="shared" si="1"/>
        <v>17</v>
      </c>
      <c r="L9" t="str">
        <f t="shared" si="2"/>
        <v>PA</v>
      </c>
    </row>
    <row r="10" spans="1:12">
      <c r="A10" s="9" t="s">
        <v>49</v>
      </c>
      <c r="B10" s="3" t="s">
        <v>50</v>
      </c>
      <c r="C10" s="3" t="s">
        <v>36</v>
      </c>
      <c r="D10" s="10">
        <v>45458.7433333333</v>
      </c>
      <c r="E10" s="3" t="s">
        <v>51</v>
      </c>
      <c r="F10" s="3" t="s">
        <v>52</v>
      </c>
      <c r="G10" s="3" t="s">
        <v>25</v>
      </c>
      <c r="H10" s="11" t="s">
        <v>53</v>
      </c>
      <c r="J10">
        <f t="shared" si="0"/>
        <v>10</v>
      </c>
      <c r="K10">
        <f t="shared" si="1"/>
        <v>12</v>
      </c>
      <c r="L10" t="str">
        <f t="shared" si="2"/>
        <v>IL</v>
      </c>
    </row>
    <row r="11" spans="1:12">
      <c r="A11" s="9" t="s">
        <v>54</v>
      </c>
      <c r="B11" s="3" t="s">
        <v>55</v>
      </c>
      <c r="C11" s="3" t="s">
        <v>29</v>
      </c>
      <c r="D11" s="10">
        <v>45480.6080555556</v>
      </c>
      <c r="E11" s="3" t="s">
        <v>56</v>
      </c>
      <c r="F11" s="3" t="s">
        <v>52</v>
      </c>
      <c r="G11" s="3" t="s">
        <v>57</v>
      </c>
      <c r="H11" s="11" t="s">
        <v>58</v>
      </c>
      <c r="J11">
        <f t="shared" si="0"/>
        <v>14</v>
      </c>
      <c r="K11">
        <f t="shared" si="1"/>
        <v>16</v>
      </c>
      <c r="L11" t="str">
        <f t="shared" si="2"/>
        <v>CA</v>
      </c>
    </row>
    <row r="12" spans="1:12">
      <c r="A12" s="9" t="s">
        <v>59</v>
      </c>
      <c r="B12" s="3" t="s">
        <v>60</v>
      </c>
      <c r="C12" s="3" t="s">
        <v>36</v>
      </c>
      <c r="D12" s="10">
        <v>45455.2849305556</v>
      </c>
      <c r="E12" s="3" t="s">
        <v>61</v>
      </c>
      <c r="F12" s="3" t="s">
        <v>52</v>
      </c>
      <c r="G12" s="3" t="s">
        <v>62</v>
      </c>
      <c r="H12" s="11" t="s">
        <v>63</v>
      </c>
      <c r="J12">
        <f t="shared" si="0"/>
        <v>12</v>
      </c>
      <c r="K12">
        <f t="shared" si="1"/>
        <v>14</v>
      </c>
      <c r="L12" t="str">
        <f t="shared" si="2"/>
        <v>CA</v>
      </c>
    </row>
    <row r="13" spans="1:12">
      <c r="A13" s="9" t="s">
        <v>64</v>
      </c>
      <c r="B13" s="3" t="s">
        <v>65</v>
      </c>
      <c r="C13" s="3" t="s">
        <v>43</v>
      </c>
      <c r="D13" s="10">
        <v>44951.5521412037</v>
      </c>
      <c r="E13" s="3" t="s">
        <v>66</v>
      </c>
      <c r="F13" s="3" t="s">
        <v>67</v>
      </c>
      <c r="G13" s="3" t="s">
        <v>25</v>
      </c>
      <c r="H13" s="11" t="s">
        <v>68</v>
      </c>
      <c r="J13">
        <f t="shared" si="0"/>
        <v>10</v>
      </c>
      <c r="K13">
        <f t="shared" si="1"/>
        <v>12</v>
      </c>
      <c r="L13" t="str">
        <f t="shared" si="2"/>
        <v>IL</v>
      </c>
    </row>
    <row r="14" spans="1:12">
      <c r="A14" s="9" t="s">
        <v>69</v>
      </c>
      <c r="B14" s="3" t="s">
        <v>42</v>
      </c>
      <c r="C14" s="3" t="s">
        <v>29</v>
      </c>
      <c r="D14" s="10">
        <v>45002.4900347222</v>
      </c>
      <c r="E14" s="3" t="s">
        <v>44</v>
      </c>
      <c r="F14" s="3" t="s">
        <v>45</v>
      </c>
      <c r="G14" s="3" t="s">
        <v>39</v>
      </c>
      <c r="H14" s="11" t="s">
        <v>46</v>
      </c>
      <c r="J14">
        <f t="shared" si="0"/>
        <v>15</v>
      </c>
      <c r="K14">
        <f t="shared" si="1"/>
        <v>17</v>
      </c>
      <c r="L14" t="str">
        <f t="shared" si="2"/>
        <v>PA</v>
      </c>
    </row>
    <row r="15" spans="1:12">
      <c r="A15" s="9" t="s">
        <v>70</v>
      </c>
      <c r="B15" s="3" t="s">
        <v>71</v>
      </c>
      <c r="C15" s="3" t="s">
        <v>43</v>
      </c>
      <c r="D15" s="10">
        <v>45078.4172569444</v>
      </c>
      <c r="E15" s="3" t="s">
        <v>72</v>
      </c>
      <c r="F15" s="3" t="s">
        <v>52</v>
      </c>
      <c r="G15" s="3" t="s">
        <v>25</v>
      </c>
      <c r="H15" s="11" t="s">
        <v>73</v>
      </c>
      <c r="J15">
        <f t="shared" si="0"/>
        <v>10</v>
      </c>
      <c r="K15">
        <f t="shared" si="1"/>
        <v>12</v>
      </c>
      <c r="L15" t="str">
        <f t="shared" si="2"/>
        <v>IL</v>
      </c>
    </row>
    <row r="16" spans="1:12">
      <c r="A16" s="9" t="s">
        <v>74</v>
      </c>
      <c r="B16" s="3" t="s">
        <v>75</v>
      </c>
      <c r="C16" s="3" t="s">
        <v>43</v>
      </c>
      <c r="D16" s="10">
        <v>45168.7293287037</v>
      </c>
      <c r="E16" s="3" t="s">
        <v>76</v>
      </c>
      <c r="F16" s="3" t="s">
        <v>77</v>
      </c>
      <c r="G16" s="3" t="s">
        <v>25</v>
      </c>
      <c r="H16" s="11" t="s">
        <v>78</v>
      </c>
      <c r="J16">
        <f t="shared" si="0"/>
        <v>10</v>
      </c>
      <c r="K16">
        <f t="shared" si="1"/>
        <v>12</v>
      </c>
      <c r="L16" t="str">
        <f t="shared" si="2"/>
        <v>IL</v>
      </c>
    </row>
    <row r="17" spans="1:12">
      <c r="A17" s="9" t="s">
        <v>79</v>
      </c>
      <c r="B17" s="3" t="s">
        <v>21</v>
      </c>
      <c r="C17" s="3" t="s">
        <v>36</v>
      </c>
      <c r="D17" s="10">
        <v>45218.3197800926</v>
      </c>
      <c r="E17" s="3" t="s">
        <v>23</v>
      </c>
      <c r="F17" s="3" t="s">
        <v>24</v>
      </c>
      <c r="G17" s="3" t="s">
        <v>80</v>
      </c>
      <c r="H17" s="11" t="s">
        <v>26</v>
      </c>
      <c r="J17">
        <f t="shared" si="0"/>
        <v>10</v>
      </c>
      <c r="K17">
        <f t="shared" si="1"/>
        <v>12</v>
      </c>
      <c r="L17" t="str">
        <f t="shared" si="2"/>
        <v>IL</v>
      </c>
    </row>
    <row r="18" spans="1:12">
      <c r="A18" s="9" t="s">
        <v>81</v>
      </c>
      <c r="B18" s="3" t="s">
        <v>35</v>
      </c>
      <c r="C18" s="3" t="s">
        <v>29</v>
      </c>
      <c r="D18" s="10">
        <v>45350.7192361111</v>
      </c>
      <c r="E18" s="3" t="s">
        <v>37</v>
      </c>
      <c r="F18" s="3" t="s">
        <v>38</v>
      </c>
      <c r="G18" s="3" t="s">
        <v>39</v>
      </c>
      <c r="H18" s="11" t="s">
        <v>40</v>
      </c>
      <c r="J18">
        <f t="shared" si="0"/>
        <v>15</v>
      </c>
      <c r="K18">
        <f t="shared" si="1"/>
        <v>17</v>
      </c>
      <c r="L18" t="str">
        <f t="shared" si="2"/>
        <v>PA</v>
      </c>
    </row>
    <row r="19" spans="1:12">
      <c r="A19" s="9" t="s">
        <v>82</v>
      </c>
      <c r="B19" s="3" t="s">
        <v>83</v>
      </c>
      <c r="C19" s="3" t="s">
        <v>36</v>
      </c>
      <c r="D19" s="10">
        <v>45418.7263541667</v>
      </c>
      <c r="E19" s="3" t="s">
        <v>84</v>
      </c>
      <c r="F19" s="3" t="s">
        <v>77</v>
      </c>
      <c r="G19" s="3" t="s">
        <v>85</v>
      </c>
      <c r="H19" s="11" t="s">
        <v>86</v>
      </c>
      <c r="J19">
        <f t="shared" si="0"/>
        <v>11</v>
      </c>
      <c r="K19">
        <f t="shared" si="1"/>
        <v>13</v>
      </c>
      <c r="L19" t="str">
        <f t="shared" si="2"/>
        <v>NY</v>
      </c>
    </row>
    <row r="20" spans="1:12">
      <c r="A20" s="9" t="s">
        <v>87</v>
      </c>
      <c r="B20" s="3" t="s">
        <v>35</v>
      </c>
      <c r="C20" s="3" t="s">
        <v>43</v>
      </c>
      <c r="D20" s="10">
        <v>45496.2917013889</v>
      </c>
      <c r="E20" s="3" t="s">
        <v>37</v>
      </c>
      <c r="F20" s="3" t="s">
        <v>38</v>
      </c>
      <c r="G20" s="3" t="s">
        <v>39</v>
      </c>
      <c r="H20" s="11" t="s">
        <v>40</v>
      </c>
      <c r="J20">
        <f t="shared" si="0"/>
        <v>15</v>
      </c>
      <c r="K20">
        <f t="shared" si="1"/>
        <v>17</v>
      </c>
      <c r="L20" t="str">
        <f t="shared" si="2"/>
        <v>PA</v>
      </c>
    </row>
    <row r="21" ht="15.75" spans="1:12">
      <c r="A21" s="9" t="s">
        <v>88</v>
      </c>
      <c r="B21" s="12" t="s">
        <v>35</v>
      </c>
      <c r="C21" s="12" t="s">
        <v>43</v>
      </c>
      <c r="D21" s="13">
        <v>45422.7398842593</v>
      </c>
      <c r="E21" s="12" t="s">
        <v>37</v>
      </c>
      <c r="F21" s="12" t="s">
        <v>38</v>
      </c>
      <c r="G21" s="12" t="s">
        <v>85</v>
      </c>
      <c r="H21" s="14" t="s">
        <v>40</v>
      </c>
      <c r="J21">
        <f t="shared" si="0"/>
        <v>11</v>
      </c>
      <c r="K21">
        <f t="shared" si="1"/>
        <v>13</v>
      </c>
      <c r="L21" t="str">
        <f t="shared" si="2"/>
        <v>NY</v>
      </c>
    </row>
  </sheetData>
  <mergeCells count="1">
    <mergeCell ref="J1:L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W25"/>
  <sheetViews>
    <sheetView tabSelected="1" zoomScale="120" zoomScaleNormal="120" topLeftCell="A6" workbookViewId="0">
      <selection activeCell="N20" sqref="N20"/>
    </sheetView>
  </sheetViews>
  <sheetFormatPr defaultColWidth="9" defaultRowHeight="15"/>
  <cols>
    <col min="1" max="1" width="24.4285714285714" customWidth="1"/>
  </cols>
  <sheetData>
    <row r="2" spans="1:2">
      <c r="A2" s="17" t="s">
        <v>91</v>
      </c>
      <c r="B2" s="2"/>
    </row>
    <row r="3" spans="1:1">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2">
      <c r="A5" s="17" t="s">
        <v>92</v>
      </c>
      <c r="B5" s="2"/>
    </row>
    <row r="6" spans="1:7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6">
      <c r="A8" s="17" t="s">
        <v>93</v>
      </c>
      <c r="B8" s="17" t="s">
        <v>94</v>
      </c>
      <c r="C8" s="2"/>
      <c r="D8" s="2"/>
      <c r="E8" s="2"/>
      <c r="F8" s="2"/>
    </row>
    <row r="9" spans="1:2">
      <c r="A9" s="3" t="str" cm="1">
        <f t="array" ref="A9:A25">_xlfn.UNIQUE(TRANSPOSE(6:6))</f>
        <v>Kafka</v>
      </c>
      <c r="B9" s="3">
        <f>COUNTIF($6:$6,A9)</f>
        <v>3</v>
      </c>
    </row>
    <row r="10" spans="1:2">
      <c r="A10" s="3" t="str">
        <v>DataBricks</v>
      </c>
      <c r="B10" s="3">
        <f t="shared" ref="B10:B24" si="0">COUNTIF($6:$6,A10)</f>
        <v>12</v>
      </c>
    </row>
    <row r="11" spans="1:2">
      <c r="A11" s="3" t="str">
        <v>Spark</v>
      </c>
      <c r="B11" s="3">
        <f t="shared" si="0"/>
        <v>2</v>
      </c>
    </row>
    <row r="12" spans="1:2">
      <c r="A12" s="3" t="str">
        <v>Python</v>
      </c>
      <c r="B12" s="3">
        <f t="shared" si="0"/>
        <v>2</v>
      </c>
    </row>
    <row r="13" spans="1:2">
      <c r="A13" s="3" t="str">
        <v>GCP</v>
      </c>
      <c r="B13" s="3">
        <f t="shared" si="0"/>
        <v>4</v>
      </c>
    </row>
    <row r="14" spans="1:2">
      <c r="A14" s="3" t="str">
        <v>Power BI</v>
      </c>
      <c r="B14" s="3">
        <f t="shared" si="0"/>
        <v>5</v>
      </c>
    </row>
    <row r="15" spans="1:2">
      <c r="A15" s="3" t="str">
        <v>Airflow</v>
      </c>
      <c r="B15" s="3">
        <f t="shared" si="0"/>
        <v>6</v>
      </c>
    </row>
    <row r="16" spans="1:2">
      <c r="A16" s="3" t="str">
        <v>Hadoop</v>
      </c>
      <c r="B16" s="3">
        <f t="shared" si="0"/>
        <v>7</v>
      </c>
    </row>
    <row r="17" spans="1:2">
      <c r="A17" s="3" t="str">
        <v>R</v>
      </c>
      <c r="B17" s="3">
        <f t="shared" si="0"/>
        <v>6</v>
      </c>
    </row>
    <row r="18" spans="1:2">
      <c r="A18" s="3" t="str">
        <v>Azure</v>
      </c>
      <c r="B18" s="3">
        <f t="shared" si="0"/>
        <v>4</v>
      </c>
    </row>
    <row r="19" spans="1:2">
      <c r="A19" s="3" t="str">
        <v>Java</v>
      </c>
      <c r="B19" s="3">
        <f t="shared" si="0"/>
        <v>7</v>
      </c>
    </row>
    <row r="20" spans="1:2">
      <c r="A20" s="3" t="str">
        <v>SQL</v>
      </c>
      <c r="B20" s="3">
        <f t="shared" si="0"/>
        <v>4</v>
      </c>
    </row>
    <row r="21" spans="1:2">
      <c r="A21" s="3" t="str">
        <v>Snowflake</v>
      </c>
      <c r="B21" s="3">
        <f t="shared" si="0"/>
        <v>5</v>
      </c>
    </row>
    <row r="22" spans="1:2">
      <c r="A22" s="3" t="str">
        <v>Scala</v>
      </c>
      <c r="B22" s="3">
        <f t="shared" si="0"/>
        <v>5</v>
      </c>
    </row>
    <row r="23" spans="1:2">
      <c r="A23" s="3" t="str">
        <v>Excel</v>
      </c>
      <c r="B23" s="3">
        <f t="shared" si="0"/>
        <v>2</v>
      </c>
    </row>
    <row r="24" spans="1:2">
      <c r="A24" s="3" t="str">
        <v>Tableau</v>
      </c>
      <c r="B24" s="3">
        <f t="shared" si="0"/>
        <v>1</v>
      </c>
    </row>
    <row r="25" spans="1:2">
      <c r="A25" s="3">
        <v>0</v>
      </c>
      <c r="B25" s="3"/>
    </row>
  </sheetData>
  <pageMargins left="0.7" right="0.7" top="0.75" bottom="0.75" header="0.3" footer="0.3"/>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Data</vt:lpstr>
      <vt:lpstr>Text_Combination</vt:lpstr>
      <vt:lpstr>Text_Extraction</vt:lpstr>
      <vt:lpstr>Text_Search</vt:lpstr>
      <vt:lpstr>Skills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Abdullah</cp:lastModifiedBy>
  <dcterms:created xsi:type="dcterms:W3CDTF">2015-06-05T18:17:00Z</dcterms:created>
  <dcterms:modified xsi:type="dcterms:W3CDTF">2025-11-06T13:55:06Z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32851A89798B499296F58137399894E5_12</vt:lpwstr>
  </property>
  <property fmtid="{D5CDD505-2E9C-101B-9397-08002B2CF9AE}" pid="3" name="KSOProductBuildVer">
    <vt:lpwstr>1033-12.2.0.23155</vt:lpwstr>
  </property>
</Properties>
</file>