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bdullah\Downloads\Practice Excel things\"/>
    </mc:Choice>
  </mc:AlternateContent>
  <xr:revisionPtr revIDLastSave="0" documentId="13_ncr:1_{B2A1EC12-929A-4498-A381-D404D67811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T2" i="8"/>
  <c r="V2" i="8"/>
  <c r="U2" i="8"/>
  <c r="R26" i="15"/>
  <c r="R25" i="15"/>
  <c r="R24" i="15"/>
  <c r="R23" i="15"/>
  <c r="R22" i="15"/>
  <c r="R21" i="15"/>
  <c r="O21" i="15"/>
  <c r="N21" i="15"/>
  <c r="L21" i="15"/>
  <c r="K21" i="15"/>
  <c r="J21" i="15"/>
  <c r="R20" i="15"/>
  <c r="O20" i="15"/>
  <c r="N20" i="15"/>
  <c r="L20" i="15"/>
  <c r="K20" i="15"/>
  <c r="J20" i="15"/>
  <c r="R19" i="15"/>
  <c r="O19" i="15"/>
  <c r="N19" i="15"/>
  <c r="L19" i="15"/>
  <c r="K19" i="15"/>
  <c r="J19" i="15"/>
  <c r="R18" i="15"/>
  <c r="O18" i="15"/>
  <c r="N18" i="15"/>
  <c r="L18" i="15"/>
  <c r="K18" i="15"/>
  <c r="J18" i="15"/>
  <c r="R17" i="15"/>
  <c r="O17" i="15"/>
  <c r="N17" i="15"/>
  <c r="L17" i="15"/>
  <c r="K17" i="15"/>
  <c r="J17" i="15"/>
  <c r="R16" i="15"/>
  <c r="O16" i="15"/>
  <c r="N16" i="15"/>
  <c r="L16" i="15"/>
  <c r="K16" i="15"/>
  <c r="J16" i="15"/>
  <c r="R15" i="15"/>
  <c r="O15" i="15"/>
  <c r="N15" i="15"/>
  <c r="L15" i="15"/>
  <c r="K15" i="15"/>
  <c r="J15" i="15"/>
  <c r="R14" i="15"/>
  <c r="O14" i="15"/>
  <c r="N14" i="15"/>
  <c r="L14" i="15"/>
  <c r="K14" i="15"/>
  <c r="J14" i="15"/>
  <c r="R13" i="15"/>
  <c r="O13" i="15"/>
  <c r="N13" i="15"/>
  <c r="L13" i="15"/>
  <c r="K13" i="15"/>
  <c r="J13" i="15"/>
  <c r="R12" i="15"/>
  <c r="O12" i="15"/>
  <c r="N12" i="15"/>
  <c r="L12" i="15"/>
  <c r="K12" i="15"/>
  <c r="J12" i="15"/>
  <c r="R11" i="15"/>
  <c r="O11" i="15"/>
  <c r="N11" i="15"/>
  <c r="L11" i="15"/>
  <c r="K11" i="15"/>
  <c r="J11" i="15"/>
  <c r="R10" i="15"/>
  <c r="O10" i="15"/>
  <c r="N10" i="15"/>
  <c r="L10" i="15"/>
  <c r="K10" i="15"/>
  <c r="J10" i="15"/>
  <c r="R9" i="15"/>
  <c r="O9" i="15"/>
  <c r="N9" i="15"/>
  <c r="L9" i="15"/>
  <c r="K9" i="15"/>
  <c r="J9" i="15"/>
  <c r="R8" i="15"/>
  <c r="O8" i="15"/>
  <c r="N8" i="15"/>
  <c r="L8" i="15"/>
  <c r="K8" i="15"/>
  <c r="J8" i="15"/>
  <c r="R7" i="15"/>
  <c r="O7" i="15"/>
  <c r="N7" i="15"/>
  <c r="L7" i="15"/>
  <c r="K7" i="15"/>
  <c r="J7" i="15"/>
  <c r="R6" i="15"/>
  <c r="O6" i="15"/>
  <c r="N6" i="15"/>
  <c r="L6" i="15"/>
  <c r="K6" i="15"/>
  <c r="J6" i="15"/>
  <c r="R5" i="15"/>
  <c r="O5" i="15"/>
  <c r="N5" i="15"/>
  <c r="L5" i="15"/>
  <c r="K5" i="15"/>
  <c r="J5" i="15"/>
  <c r="R4" i="15"/>
  <c r="O4" i="15"/>
  <c r="N4" i="15"/>
  <c r="L4" i="15"/>
  <c r="K4" i="15"/>
  <c r="J4" i="15"/>
  <c r="R3" i="15"/>
  <c r="O3" i="15"/>
  <c r="N3" i="15"/>
  <c r="L3" i="15"/>
  <c r="K3" i="15"/>
  <c r="J3" i="15"/>
  <c r="O2" i="15"/>
  <c r="N2" i="15"/>
  <c r="L2" i="15"/>
  <c r="K2" i="15"/>
  <c r="J2" i="15"/>
  <c r="N21" i="14"/>
  <c r="L21" i="14"/>
  <c r="K21" i="14"/>
  <c r="J21" i="14"/>
  <c r="N20" i="14"/>
  <c r="L20" i="14"/>
  <c r="K20" i="14"/>
  <c r="J20" i="14"/>
  <c r="N19" i="14"/>
  <c r="L19" i="14"/>
  <c r="K19" i="14"/>
  <c r="J19" i="14"/>
  <c r="N18" i="14"/>
  <c r="L18" i="14"/>
  <c r="K18" i="14"/>
  <c r="J18" i="14"/>
  <c r="N17" i="14"/>
  <c r="L17" i="14"/>
  <c r="K17" i="14"/>
  <c r="J17" i="14"/>
  <c r="N16" i="14"/>
  <c r="L16" i="14"/>
  <c r="K16" i="14"/>
  <c r="J16" i="14"/>
  <c r="N15" i="14"/>
  <c r="L15" i="14"/>
  <c r="K15" i="14"/>
  <c r="J15" i="14"/>
  <c r="N14" i="14"/>
  <c r="L14" i="14"/>
  <c r="K14" i="14"/>
  <c r="J14" i="14"/>
  <c r="N13" i="14"/>
  <c r="L13" i="14"/>
  <c r="K13" i="14"/>
  <c r="J13" i="14"/>
  <c r="N12" i="14"/>
  <c r="L12" i="14"/>
  <c r="K12" i="14"/>
  <c r="J12" i="14"/>
  <c r="N11" i="14"/>
  <c r="L11" i="14"/>
  <c r="K11" i="14"/>
  <c r="J11" i="14"/>
  <c r="N10" i="14"/>
  <c r="L10" i="14"/>
  <c r="K10" i="14"/>
  <c r="J10" i="14"/>
  <c r="N9" i="14"/>
  <c r="L9" i="14"/>
  <c r="K9" i="14"/>
  <c r="J9" i="14"/>
  <c r="N8" i="14"/>
  <c r="L8" i="14"/>
  <c r="K8" i="14"/>
  <c r="J8" i="14"/>
  <c r="N7" i="14"/>
  <c r="L7" i="14"/>
  <c r="K7" i="14"/>
  <c r="J7" i="14"/>
  <c r="N6" i="14"/>
  <c r="L6" i="14"/>
  <c r="K6" i="14"/>
  <c r="J6" i="14"/>
  <c r="N5" i="14"/>
  <c r="L5" i="14"/>
  <c r="K5" i="14"/>
  <c r="J5" i="14"/>
  <c r="N4" i="14"/>
  <c r="L4" i="14"/>
  <c r="K4" i="14"/>
  <c r="J4" i="14"/>
  <c r="N3" i="14"/>
  <c r="L3" i="14"/>
  <c r="K3" i="14"/>
  <c r="J3" i="14"/>
  <c r="P2" i="14"/>
  <c r="R20" i="14" s="1"/>
  <c r="N2" i="14"/>
  <c r="L2" i="14"/>
  <c r="K2" i="14"/>
  <c r="J2" i="14"/>
  <c r="N21" i="8"/>
  <c r="L21" i="8"/>
  <c r="K21" i="8"/>
  <c r="J21" i="8"/>
  <c r="N20" i="8"/>
  <c r="L20" i="8"/>
  <c r="K20" i="8"/>
  <c r="J20" i="8"/>
  <c r="N19" i="8"/>
  <c r="L19" i="8"/>
  <c r="K19" i="8"/>
  <c r="J19" i="8"/>
  <c r="N18" i="8"/>
  <c r="L18" i="8"/>
  <c r="K18" i="8"/>
  <c r="J18" i="8"/>
  <c r="N17" i="8"/>
  <c r="L17" i="8"/>
  <c r="K17" i="8"/>
  <c r="J17" i="8"/>
  <c r="N16" i="8"/>
  <c r="L16" i="8"/>
  <c r="K16" i="8"/>
  <c r="J16" i="8"/>
  <c r="N15" i="8"/>
  <c r="L15" i="8"/>
  <c r="K15" i="8"/>
  <c r="J15" i="8"/>
  <c r="N14" i="8"/>
  <c r="L14" i="8"/>
  <c r="K14" i="8"/>
  <c r="J14" i="8"/>
  <c r="N13" i="8"/>
  <c r="L13" i="8"/>
  <c r="K13" i="8"/>
  <c r="J13" i="8"/>
  <c r="N12" i="8"/>
  <c r="L12" i="8"/>
  <c r="K12" i="8"/>
  <c r="J12" i="8"/>
  <c r="N11" i="8"/>
  <c r="L11" i="8"/>
  <c r="K11" i="8"/>
  <c r="J11" i="8"/>
  <c r="N10" i="8"/>
  <c r="L10" i="8"/>
  <c r="K10" i="8"/>
  <c r="J10" i="8"/>
  <c r="N9" i="8"/>
  <c r="L9" i="8"/>
  <c r="K9" i="8"/>
  <c r="J9" i="8"/>
  <c r="N8" i="8"/>
  <c r="L8" i="8"/>
  <c r="K8" i="8"/>
  <c r="J8" i="8"/>
  <c r="N7" i="8"/>
  <c r="L7" i="8"/>
  <c r="K7" i="8"/>
  <c r="J7" i="8"/>
  <c r="N6" i="8"/>
  <c r="L6" i="8"/>
  <c r="K6" i="8"/>
  <c r="J6" i="8"/>
  <c r="N5" i="8"/>
  <c r="L5" i="8"/>
  <c r="K5" i="8"/>
  <c r="J5" i="8"/>
  <c r="N4" i="8"/>
  <c r="L4" i="8"/>
  <c r="K4" i="8"/>
  <c r="J4" i="8"/>
  <c r="N3" i="8"/>
  <c r="L3" i="8"/>
  <c r="K3" i="8"/>
  <c r="J3" i="8"/>
  <c r="P2" i="8"/>
  <c r="R21" i="8" s="1"/>
  <c r="N2" i="8"/>
  <c r="L2" i="8"/>
  <c r="K2" i="8"/>
  <c r="J2" i="8"/>
  <c r="R6" i="8" l="1"/>
  <c r="R10" i="8"/>
  <c r="R18" i="8"/>
  <c r="R21" i="14"/>
  <c r="R14" i="8"/>
  <c r="R5" i="14"/>
  <c r="R9" i="14"/>
  <c r="R13" i="14"/>
  <c r="R17" i="14"/>
  <c r="R3" i="8"/>
  <c r="R7" i="8"/>
  <c r="R11" i="8"/>
  <c r="R15" i="8"/>
  <c r="R19" i="8"/>
  <c r="R2" i="14"/>
  <c r="R6" i="14"/>
  <c r="R10" i="14"/>
  <c r="R14" i="14"/>
  <c r="R18" i="14"/>
  <c r="R19" i="14"/>
  <c r="R4" i="8"/>
  <c r="R8" i="8"/>
  <c r="R12" i="8"/>
  <c r="R16" i="8"/>
  <c r="R20" i="8"/>
  <c r="R3" i="14"/>
  <c r="R7" i="14"/>
  <c r="R11" i="14"/>
  <c r="R15" i="14"/>
  <c r="R2" i="8"/>
  <c r="R5" i="8"/>
  <c r="R9" i="8"/>
  <c r="R13" i="8"/>
  <c r="R17" i="8"/>
  <c r="R4" i="14"/>
  <c r="R8" i="14"/>
  <c r="R12" i="14"/>
  <c r="R16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<sst xmlns="http://schemas.openxmlformats.org/spreadsheetml/2006/main" count="471" uniqueCount="98">
  <si>
    <t>Applicant ID</t>
  </si>
  <si>
    <t>Full Name</t>
  </si>
  <si>
    <t>Job Position</t>
  </si>
  <si>
    <t>Application Date &amp; Time</t>
  </si>
  <si>
    <t>Email</t>
  </si>
  <si>
    <t>Street</t>
  </si>
  <si>
    <t>City State Zip</t>
  </si>
  <si>
    <t>Skills List</t>
  </si>
  <si>
    <t>Month</t>
  </si>
  <si>
    <t>Day</t>
  </si>
  <si>
    <t>Year</t>
  </si>
  <si>
    <t>Application Date</t>
  </si>
  <si>
    <t>Today</t>
  </si>
  <si>
    <t>Days Since Applied</t>
  </si>
  <si>
    <t>Hour</t>
  </si>
  <si>
    <t>Minute</t>
  </si>
  <si>
    <t>Second</t>
  </si>
  <si>
    <t>Application Time</t>
  </si>
  <si>
    <t>Hours in a Day</t>
  </si>
  <si>
    <t>AID0123548</t>
  </si>
  <si>
    <t>Pam Beesly</t>
  </si>
  <si>
    <t>Data Analyst</t>
  </si>
  <si>
    <t>pam.beesly@outlook.com</t>
  </si>
  <si>
    <t>457 Oak St</t>
  </si>
  <si>
    <t>San Jose, CA, 95101</t>
  </si>
  <si>
    <t>Kafka, DataBricks, Spark, Python, GCP</t>
  </si>
  <si>
    <t>AID0123549</t>
  </si>
  <si>
    <t>Michael Scott</t>
  </si>
  <si>
    <t>Business Intelligence Analyst</t>
  </si>
  <si>
    <t>michael.scott@gmail.com</t>
  </si>
  <si>
    <t>203 Birch St</t>
  </si>
  <si>
    <t>Chicago, IL, 60601</t>
  </si>
  <si>
    <t>Power BI, GCP, Airflow, Hadoop, R</t>
  </si>
  <si>
    <t>AID0123550</t>
  </si>
  <si>
    <t>Kevin Malone</t>
  </si>
  <si>
    <t>Data Engineer</t>
  </si>
  <si>
    <t>kevin.malone@aol.com</t>
  </si>
  <si>
    <t>790 Pine St</t>
  </si>
  <si>
    <t>Azure, Java, SQL, DataBricks</t>
  </si>
  <si>
    <t>AID0123551</t>
  </si>
  <si>
    <t>AID0123552</t>
  </si>
  <si>
    <t>Jim Halpert</t>
  </si>
  <si>
    <t>Data Scientist</t>
  </si>
  <si>
    <t>jim.halpert@hotmail.com</t>
  </si>
  <si>
    <t>459 Oak St</t>
  </si>
  <si>
    <t>Philadelphia, PA, 19101</t>
  </si>
  <si>
    <t>DataBricks, Hadoop, Java</t>
  </si>
  <si>
    <t>AID0123553</t>
  </si>
  <si>
    <t>Ryan Howard</t>
  </si>
  <si>
    <t>Machine Learning Engineer</t>
  </si>
  <si>
    <t>ryan.howard@aol.com</t>
  </si>
  <si>
    <t>204 Birch St</t>
  </si>
  <si>
    <t>Snowflake, Airflow, DataBricks</t>
  </si>
  <si>
    <t>AID0123554</t>
  </si>
  <si>
    <t>AID0123555</t>
  </si>
  <si>
    <t>AID0123556</t>
  </si>
  <si>
    <t>Stanley Hudson</t>
  </si>
  <si>
    <t>stanley.hudson@gmail.com</t>
  </si>
  <si>
    <t>123 Elm St</t>
  </si>
  <si>
    <t>Scala, Azure, R, Kafka</t>
  </si>
  <si>
    <t>AID0123557</t>
  </si>
  <si>
    <t>Angela Martin</t>
  </si>
  <si>
    <t>angela.martin@ymail.com</t>
  </si>
  <si>
    <t>Los Angeles, CA, 90001</t>
  </si>
  <si>
    <t>Snowflake, Excel, Scala</t>
  </si>
  <si>
    <t>AID0123558</t>
  </si>
  <si>
    <t>Dwight Schrute</t>
  </si>
  <si>
    <t>dwight.schrute@gmail.com</t>
  </si>
  <si>
    <t>San Diego, CA, 92101</t>
  </si>
  <si>
    <t>Excel, Power BI, R</t>
  </si>
  <si>
    <t>AID0123559</t>
  </si>
  <si>
    <t>Oscar Martinez</t>
  </si>
  <si>
    <t>oscar.martinez@outlook.com</t>
  </si>
  <si>
    <t>202 Birch St</t>
  </si>
  <si>
    <t>Scala, R, Hadoop, Power BI, SQL</t>
  </si>
  <si>
    <t>AID0123560</t>
  </si>
  <si>
    <t>AID0123561</t>
  </si>
  <si>
    <t>Phyllis Vance</t>
  </si>
  <si>
    <t>phyllis.vance@gmail.com</t>
  </si>
  <si>
    <t>Java, Scala, R</t>
  </si>
  <si>
    <t>AID0123562</t>
  </si>
  <si>
    <t>Meredith Palmer</t>
  </si>
  <si>
    <t>meredith.palmer@outlook.com</t>
  </si>
  <si>
    <t>456 Oak St</t>
  </si>
  <si>
    <t>DataBricks, Azure, Scala</t>
  </si>
  <si>
    <t>AID0123563</t>
  </si>
  <si>
    <t>Chicago, IL, 60602</t>
  </si>
  <si>
    <t>AID0123564</t>
  </si>
  <si>
    <t>AID0123565</t>
  </si>
  <si>
    <t>Kelly Kapoor</t>
  </si>
  <si>
    <t>kelly.kapoor@gmail.com</t>
  </si>
  <si>
    <t>New York, NY, 10001</t>
  </si>
  <si>
    <t>Snowflake, Power BI, Tableau, Airflow, SQL</t>
  </si>
  <si>
    <t>AID0123566</t>
  </si>
  <si>
    <t>AID0123567</t>
  </si>
  <si>
    <t>Count</t>
  </si>
  <si>
    <t>Find hours in a day</t>
  </si>
  <si>
    <t>Hours is a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</si>
</sst>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m/d/yy\ h:mm\ AM/PM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0" fontId="2" fillId="2" borderId="3" xfId="0" applyFont="1" applyFill="1" applyBorder="1"/>
    <xf numFmtId="0" fontId="0" fillId="0" borderId="4" xfId="0" applyBorder="1"/>
    <xf numFmtId="0" fontId="0" fillId="0" borderId="5" xfId="0" applyBorder="1"/>
    <xf numFmtId="166" fontId="0" fillId="0" borderId="5" xfId="0" applyNumberFormat="1" applyBorder="1"/>
    <xf numFmtId="0" fontId="0" fillId="0" borderId="6" xfId="0" applyBorder="1"/>
    <xf numFmtId="0" fontId="0" fillId="0" borderId="7" xfId="0" applyBorder="1"/>
    <xf numFmtId="166" fontId="0" fillId="0" borderId="7" xfId="0" applyNumberFormat="1" applyBorder="1"/>
    <xf numFmtId="0" fontId="0" fillId="0" borderId="8" xfId="0" applyBorder="1"/>
    <xf numFmtId="0" fontId="2" fillId="2" borderId="0" xfId="0" applyFont="1" applyFill="1"/>
    <xf numFmtId="18" fontId="0" fillId="0" borderId="0" xfId="0" applyNumberFormat="1"/>
    <xf numFmtId="0" fontId="0" fillId="2" borderId="0" xfId="0" applyFill="1"/>
    <xf numFmtId="49" fontId="0" fillId="0" borderId="0" xfId="0" applyNumberFormat="1"/>
    <xf numFmtId="14" fontId="0" fillId="0" borderId="0" xfId="0" applyNumberFormat="1"/>
    <xf numFmtId="0" fontId="2" fillId="3" borderId="9" xfId="0" applyFont="1" applyFill="1" applyBorder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Posting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209973753280839E-2"/>
          <c:y val="0.16708333333333336"/>
          <c:w val="0.915530183727034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F-4A0F-8918-5075147B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9433743"/>
        <c:axId val="1919421743"/>
      </c:barChart>
      <c:catAx>
        <c:axId val="191943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421743"/>
        <c:crosses val="autoZero"/>
        <c:auto val="1"/>
        <c:lblAlgn val="ctr"/>
        <c:lblOffset val="100"/>
        <c:noMultiLvlLbl val="0"/>
      </c:catAx>
      <c:valAx>
        <c:axId val="191942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433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D-45FB-A734-34FCAB2CD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e94ef9-f1c7-4f53-9b6c-1e1ffe0a52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581025</xdr:colOff>
      <xdr:row>6</xdr:row>
      <xdr:rowOff>4762</xdr:rowOff>
    </xdr:from>
    <xdr:to>
      <xdr:col>34</xdr:col>
      <xdr:colOff>590550</xdr:colOff>
      <xdr:row>20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6A460E-0868-3044-68F3-3BA6C41E9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"/>
  <sheetViews>
    <sheetView tabSelected="1" topLeftCell="V6" workbookViewId="0">
      <selection activeCell="AC11" sqref="AC11"/>
    </sheetView>
  </sheetViews>
  <sheetFormatPr defaultColWidth="9" defaultRowHeight="15"/>
  <cols>
    <col min="1" max="1" width="17.5703125" customWidth="1"/>
    <col min="2" max="2" width="14.28515625" hidden="1" customWidth="1"/>
    <col min="3" max="3" width="27.28515625" hidden="1" customWidth="1"/>
    <col min="4" max="4" width="23" style="16" customWidth="1"/>
    <col min="5" max="5" width="26.28515625" hidden="1" customWidth="1"/>
    <col min="6" max="6" width="11" hidden="1" customWidth="1"/>
    <col min="7" max="7" width="22" hidden="1" customWidth="1"/>
    <col min="8" max="8" width="40" hidden="1" customWidth="1"/>
    <col min="9" max="9" width="9" customWidth="1"/>
    <col min="10" max="13" width="8.85546875" customWidth="1"/>
    <col min="14" max="14" width="14.140625" customWidth="1"/>
    <col min="15" max="15" width="8.85546875" customWidth="1"/>
    <col min="16" max="17" width="9.7109375" customWidth="1"/>
    <col min="18" max="18" width="18" customWidth="1"/>
    <col min="19" max="20" width="8.85546875" customWidth="1"/>
    <col min="21" max="21" width="8.42578125" bestFit="1" customWidth="1"/>
    <col min="22" max="23" width="8.85546875" customWidth="1"/>
    <col min="24" max="24" width="16.140625" bestFit="1" customWidth="1"/>
    <col min="25" max="25" width="16.5703125" customWidth="1"/>
    <col min="26" max="26" width="8.85546875" customWidth="1"/>
    <col min="27" max="27" width="13.5703125" bestFit="1" customWidth="1"/>
    <col min="28" max="28" width="17.7109375" bestFit="1" customWidth="1"/>
    <col min="30" max="30" width="15.5703125" bestFit="1" customWidth="1"/>
    <col min="31" max="31" width="16.85546875" bestFit="1" customWidth="1"/>
  </cols>
  <sheetData>
    <row r="1" spans="1:3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17"/>
      <c r="J1" s="18" t="s">
        <v>8</v>
      </c>
      <c r="K1" s="18" t="s">
        <v>9</v>
      </c>
      <c r="L1" s="18" t="s">
        <v>10</v>
      </c>
      <c r="M1" s="19"/>
      <c r="N1" s="18" t="s">
        <v>11</v>
      </c>
      <c r="O1" s="19"/>
      <c r="P1" s="18" t="s">
        <v>12</v>
      </c>
      <c r="Q1" s="19"/>
      <c r="R1" s="18" t="s">
        <v>13</v>
      </c>
      <c r="S1" s="19"/>
      <c r="T1" s="18" t="s">
        <v>14</v>
      </c>
      <c r="U1" s="18" t="s">
        <v>15</v>
      </c>
      <c r="V1" s="18" t="s">
        <v>16</v>
      </c>
      <c r="W1" s="19"/>
      <c r="X1" s="18" t="s">
        <v>17</v>
      </c>
      <c r="Y1" s="18" t="s">
        <v>17</v>
      </c>
      <c r="Z1" s="19"/>
      <c r="AA1" s="20" t="s">
        <v>97</v>
      </c>
      <c r="AB1" s="20" t="s">
        <v>96</v>
      </c>
      <c r="AD1" s="23"/>
      <c r="AE1" s="23"/>
    </row>
    <row r="2" spans="1:31">
      <c r="A2" s="5" t="s">
        <v>19</v>
      </c>
      <c r="B2" s="6" t="s">
        <v>20</v>
      </c>
      <c r="C2" s="6" t="s">
        <v>21</v>
      </c>
      <c r="D2" s="7">
        <v>44971.640451388899</v>
      </c>
      <c r="E2" s="6" t="s">
        <v>22</v>
      </c>
      <c r="F2" s="6" t="s">
        <v>23</v>
      </c>
      <c r="G2" s="6" t="s">
        <v>24</v>
      </c>
      <c r="H2" s="8" t="s">
        <v>25</v>
      </c>
      <c r="J2" s="19">
        <f>MONTH(D2)</f>
        <v>2</v>
      </c>
      <c r="K2" s="19">
        <f>DAY(D2)</f>
        <v>14</v>
      </c>
      <c r="L2" s="19">
        <f>YEAR(D2)</f>
        <v>2023</v>
      </c>
      <c r="M2" s="19"/>
      <c r="N2" s="21">
        <f>DATE(L2,J2,K2)</f>
        <v>44971</v>
      </c>
      <c r="O2" s="19"/>
      <c r="P2" s="21">
        <f ca="1">TODAY()</f>
        <v>45968</v>
      </c>
      <c r="Q2" s="21"/>
      <c r="R2" s="19">
        <f ca="1">DATEDIF(N2,$P$2,"D")</f>
        <v>997</v>
      </c>
      <c r="S2" s="19"/>
      <c r="T2" s="19">
        <f>HOUR(D2)</f>
        <v>15</v>
      </c>
      <c r="U2" s="19">
        <f>MINUTE(D2)</f>
        <v>22</v>
      </c>
      <c r="V2" s="19">
        <f>SECOND(D2)</f>
        <v>15</v>
      </c>
      <c r="W2" s="19"/>
      <c r="X2" s="22">
        <f>TIME(T2,U2,V2)</f>
        <v>0.64045138888888886</v>
      </c>
      <c r="Y2" s="19" t="str">
        <f>TEXT(D2,"HH:MM:SS AM/PM")</f>
        <v>03:22:15 PM</v>
      </c>
      <c r="Z2" s="19"/>
      <c r="AA2" s="19" cm="1">
        <f t="array" ref="AA2:AA25">_xlfn.SEQUENCE(24,,1)</f>
        <v>1</v>
      </c>
      <c r="AB2" s="19">
        <f>COUNTIF($T$2:$T$21,AA2)</f>
        <v>0</v>
      </c>
    </row>
    <row r="3" spans="1:31">
      <c r="A3" s="5" t="s">
        <v>26</v>
      </c>
      <c r="B3" s="6" t="s">
        <v>27</v>
      </c>
      <c r="C3" s="6" t="s">
        <v>28</v>
      </c>
      <c r="D3" s="7">
        <v>45055.406620370399</v>
      </c>
      <c r="E3" s="6" t="s">
        <v>29</v>
      </c>
      <c r="F3" s="6" t="s">
        <v>30</v>
      </c>
      <c r="G3" s="6" t="s">
        <v>31</v>
      </c>
      <c r="H3" s="8" t="s">
        <v>32</v>
      </c>
      <c r="J3" s="19">
        <f t="shared" ref="J3:J21" si="0">MONTH(D3)</f>
        <v>5</v>
      </c>
      <c r="K3" s="19">
        <f t="shared" ref="K3:K21" si="1">DAY(D3)</f>
        <v>9</v>
      </c>
      <c r="L3" s="19">
        <f t="shared" ref="L3:L21" si="2">YEAR(D3)</f>
        <v>2023</v>
      </c>
      <c r="M3" s="19"/>
      <c r="N3" s="21">
        <f t="shared" ref="N3:N21" si="3">DATE(L3,J3,K3)</f>
        <v>45055</v>
      </c>
      <c r="O3" s="19"/>
      <c r="P3" s="21"/>
      <c r="Q3" s="19"/>
      <c r="R3" s="19">
        <f t="shared" ref="R3:R21" ca="1" si="4">DATEDIF(N3,$P$2,"D")</f>
        <v>913</v>
      </c>
      <c r="S3" s="19"/>
      <c r="T3" s="19">
        <f t="shared" ref="T3:T21" si="5">HOUR(D3)</f>
        <v>9</v>
      </c>
      <c r="U3" s="19">
        <f t="shared" ref="U3:U21" si="6">MINUTE(D3)</f>
        <v>45</v>
      </c>
      <c r="V3" s="19">
        <f t="shared" ref="V3:V21" si="7">SECOND(D3)</f>
        <v>32</v>
      </c>
      <c r="W3" s="19"/>
      <c r="X3" s="22">
        <f t="shared" ref="X3:X21" si="8">TIME(T3,U3,V3)</f>
        <v>0.40662037037037035</v>
      </c>
      <c r="Y3" s="19" t="str">
        <f t="shared" ref="Y3:Y21" si="9">TEXT(D3,"HH:MM:SS AM/PM")</f>
        <v>09:45:32 AM</v>
      </c>
      <c r="Z3" s="19"/>
      <c r="AA3" s="19">
        <v>2</v>
      </c>
      <c r="AB3" s="19">
        <f t="shared" ref="AB3:AB25" si="10">COUNTIF($T$2:$T$21,AA3)</f>
        <v>0</v>
      </c>
    </row>
    <row r="4" spans="1:31">
      <c r="A4" s="5" t="s">
        <v>33</v>
      </c>
      <c r="B4" s="6" t="s">
        <v>34</v>
      </c>
      <c r="C4" s="6" t="s">
        <v>35</v>
      </c>
      <c r="D4" s="7">
        <v>45128.729710648098</v>
      </c>
      <c r="E4" s="6" t="s">
        <v>36</v>
      </c>
      <c r="F4" s="6" t="s">
        <v>37</v>
      </c>
      <c r="G4" s="6" t="s">
        <v>31</v>
      </c>
      <c r="H4" s="8" t="s">
        <v>38</v>
      </c>
      <c r="J4" s="19">
        <f t="shared" si="0"/>
        <v>7</v>
      </c>
      <c r="K4" s="19">
        <f t="shared" si="1"/>
        <v>21</v>
      </c>
      <c r="L4" s="19">
        <f t="shared" si="2"/>
        <v>2023</v>
      </c>
      <c r="M4" s="19"/>
      <c r="N4" s="21">
        <f t="shared" si="3"/>
        <v>45128</v>
      </c>
      <c r="O4" s="19"/>
      <c r="P4" s="21"/>
      <c r="Q4" s="19"/>
      <c r="R4" s="19">
        <f t="shared" ca="1" si="4"/>
        <v>840</v>
      </c>
      <c r="S4" s="19"/>
      <c r="T4" s="19">
        <f t="shared" si="5"/>
        <v>17</v>
      </c>
      <c r="U4" s="19">
        <f t="shared" si="6"/>
        <v>30</v>
      </c>
      <c r="V4" s="19">
        <f t="shared" si="7"/>
        <v>47</v>
      </c>
      <c r="W4" s="19"/>
      <c r="X4" s="22">
        <f t="shared" si="8"/>
        <v>0.72971064814814812</v>
      </c>
      <c r="Y4" s="19" t="str">
        <f t="shared" si="9"/>
        <v>05:30:47 PM</v>
      </c>
      <c r="Z4" s="19"/>
      <c r="AA4" s="19">
        <v>3</v>
      </c>
      <c r="AB4" s="19">
        <f t="shared" si="10"/>
        <v>0</v>
      </c>
    </row>
    <row r="5" spans="1:31">
      <c r="A5" s="5" t="s">
        <v>39</v>
      </c>
      <c r="B5" s="6" t="s">
        <v>20</v>
      </c>
      <c r="C5" s="6" t="s">
        <v>28</v>
      </c>
      <c r="D5" s="7">
        <v>45173.302187499998</v>
      </c>
      <c r="E5" s="6" t="s">
        <v>22</v>
      </c>
      <c r="F5" s="6" t="s">
        <v>23</v>
      </c>
      <c r="G5" s="6" t="s">
        <v>24</v>
      </c>
      <c r="H5" s="8" t="s">
        <v>25</v>
      </c>
      <c r="J5" s="19">
        <f t="shared" si="0"/>
        <v>9</v>
      </c>
      <c r="K5" s="19">
        <f t="shared" si="1"/>
        <v>4</v>
      </c>
      <c r="L5" s="19">
        <f t="shared" si="2"/>
        <v>2023</v>
      </c>
      <c r="M5" s="19"/>
      <c r="N5" s="21">
        <f t="shared" si="3"/>
        <v>45173</v>
      </c>
      <c r="O5" s="19"/>
      <c r="P5" s="21"/>
      <c r="Q5" s="19"/>
      <c r="R5" s="19">
        <f t="shared" ca="1" si="4"/>
        <v>795</v>
      </c>
      <c r="S5" s="19"/>
      <c r="T5" s="19">
        <f t="shared" si="5"/>
        <v>7</v>
      </c>
      <c r="U5" s="19">
        <f t="shared" si="6"/>
        <v>15</v>
      </c>
      <c r="V5" s="19">
        <f t="shared" si="7"/>
        <v>9</v>
      </c>
      <c r="W5" s="19"/>
      <c r="X5" s="22">
        <f t="shared" si="8"/>
        <v>0.3021875</v>
      </c>
      <c r="Y5" s="19" t="str">
        <f t="shared" si="9"/>
        <v>07:15:09 AM</v>
      </c>
      <c r="Z5" s="19"/>
      <c r="AA5" s="19">
        <v>4</v>
      </c>
      <c r="AB5" s="19">
        <f t="shared" si="10"/>
        <v>0</v>
      </c>
    </row>
    <row r="6" spans="1:31">
      <c r="A6" s="5" t="s">
        <v>40</v>
      </c>
      <c r="B6" s="6" t="s">
        <v>41</v>
      </c>
      <c r="C6" s="6" t="s">
        <v>42</v>
      </c>
      <c r="D6" s="7">
        <v>45248.708576388897</v>
      </c>
      <c r="E6" s="6" t="s">
        <v>43</v>
      </c>
      <c r="F6" s="6" t="s">
        <v>44</v>
      </c>
      <c r="G6" s="6" t="s">
        <v>45</v>
      </c>
      <c r="H6" s="8" t="s">
        <v>46</v>
      </c>
      <c r="J6" s="19">
        <f t="shared" si="0"/>
        <v>11</v>
      </c>
      <c r="K6" s="19">
        <f t="shared" si="1"/>
        <v>18</v>
      </c>
      <c r="L6" s="19">
        <f t="shared" si="2"/>
        <v>2023</v>
      </c>
      <c r="M6" s="19"/>
      <c r="N6" s="21">
        <f t="shared" si="3"/>
        <v>45248</v>
      </c>
      <c r="O6" s="19"/>
      <c r="P6" s="21"/>
      <c r="Q6" s="19"/>
      <c r="R6" s="19">
        <f t="shared" ca="1" si="4"/>
        <v>720</v>
      </c>
      <c r="S6" s="19"/>
      <c r="T6" s="19">
        <f t="shared" si="5"/>
        <v>17</v>
      </c>
      <c r="U6" s="19">
        <f t="shared" si="6"/>
        <v>0</v>
      </c>
      <c r="V6" s="19">
        <f t="shared" si="7"/>
        <v>21</v>
      </c>
      <c r="W6" s="19"/>
      <c r="X6" s="22">
        <f t="shared" si="8"/>
        <v>0.70857638888888885</v>
      </c>
      <c r="Y6" s="19" t="str">
        <f t="shared" si="9"/>
        <v>05:00:21 PM</v>
      </c>
      <c r="Z6" s="19"/>
      <c r="AA6" s="19">
        <v>5</v>
      </c>
      <c r="AB6" s="19">
        <f t="shared" si="10"/>
        <v>0</v>
      </c>
    </row>
    <row r="7" spans="1:31">
      <c r="A7" s="5" t="s">
        <v>47</v>
      </c>
      <c r="B7" s="6" t="s">
        <v>48</v>
      </c>
      <c r="C7" s="6" t="s">
        <v>49</v>
      </c>
      <c r="D7" s="7">
        <v>45302.5319212963</v>
      </c>
      <c r="E7" s="6" t="s">
        <v>50</v>
      </c>
      <c r="F7" s="6" t="s">
        <v>51</v>
      </c>
      <c r="G7" s="6" t="s">
        <v>45</v>
      </c>
      <c r="H7" s="8" t="s">
        <v>52</v>
      </c>
      <c r="J7" s="19">
        <f t="shared" si="0"/>
        <v>1</v>
      </c>
      <c r="K7" s="19">
        <f t="shared" si="1"/>
        <v>11</v>
      </c>
      <c r="L7" s="19">
        <f t="shared" si="2"/>
        <v>2024</v>
      </c>
      <c r="M7" s="19"/>
      <c r="N7" s="21">
        <f t="shared" si="3"/>
        <v>45302</v>
      </c>
      <c r="O7" s="19"/>
      <c r="P7" s="21"/>
      <c r="Q7" s="19"/>
      <c r="R7" s="19">
        <f t="shared" ca="1" si="4"/>
        <v>666</v>
      </c>
      <c r="S7" s="19"/>
      <c r="T7" s="19">
        <f t="shared" si="5"/>
        <v>12</v>
      </c>
      <c r="U7" s="19">
        <f t="shared" si="6"/>
        <v>45</v>
      </c>
      <c r="V7" s="19">
        <f t="shared" si="7"/>
        <v>58</v>
      </c>
      <c r="W7" s="19"/>
      <c r="X7" s="22">
        <f t="shared" si="8"/>
        <v>0.53192129629629625</v>
      </c>
      <c r="Y7" s="19" t="str">
        <f t="shared" si="9"/>
        <v>12:45:58 PM</v>
      </c>
      <c r="Z7" s="19"/>
      <c r="AA7" s="19">
        <v>6</v>
      </c>
      <c r="AB7" s="19">
        <f t="shared" si="10"/>
        <v>1</v>
      </c>
    </row>
    <row r="8" spans="1:31">
      <c r="A8" s="5" t="s">
        <v>53</v>
      </c>
      <c r="B8" s="6" t="s">
        <v>34</v>
      </c>
      <c r="C8" s="6" t="s">
        <v>28</v>
      </c>
      <c r="D8" s="7">
        <v>45354.687881944403</v>
      </c>
      <c r="E8" s="6" t="s">
        <v>36</v>
      </c>
      <c r="F8" s="6" t="s">
        <v>37</v>
      </c>
      <c r="G8" s="6" t="s">
        <v>31</v>
      </c>
      <c r="H8" s="8" t="s">
        <v>38</v>
      </c>
      <c r="J8" s="19">
        <f t="shared" si="0"/>
        <v>3</v>
      </c>
      <c r="K8" s="19">
        <f t="shared" si="1"/>
        <v>3</v>
      </c>
      <c r="L8" s="19">
        <f t="shared" si="2"/>
        <v>2024</v>
      </c>
      <c r="M8" s="19"/>
      <c r="N8" s="21">
        <f t="shared" si="3"/>
        <v>45354</v>
      </c>
      <c r="O8" s="19"/>
      <c r="P8" s="21"/>
      <c r="Q8" s="19"/>
      <c r="R8" s="19">
        <f t="shared" ca="1" si="4"/>
        <v>614</v>
      </c>
      <c r="S8" s="19"/>
      <c r="T8" s="19">
        <f t="shared" si="5"/>
        <v>16</v>
      </c>
      <c r="U8" s="19">
        <f t="shared" si="6"/>
        <v>30</v>
      </c>
      <c r="V8" s="19">
        <f t="shared" si="7"/>
        <v>33</v>
      </c>
      <c r="W8" s="19"/>
      <c r="X8" s="22">
        <f t="shared" si="8"/>
        <v>0.68788194444444439</v>
      </c>
      <c r="Y8" s="19" t="str">
        <f t="shared" si="9"/>
        <v>04:30:33 PM</v>
      </c>
      <c r="Z8" s="19"/>
      <c r="AA8" s="19">
        <v>7</v>
      </c>
      <c r="AB8" s="19">
        <f t="shared" si="10"/>
        <v>3</v>
      </c>
    </row>
    <row r="9" spans="1:31">
      <c r="A9" s="5" t="s">
        <v>54</v>
      </c>
      <c r="B9" s="6" t="s">
        <v>48</v>
      </c>
      <c r="C9" s="6" t="s">
        <v>21</v>
      </c>
      <c r="D9" s="7">
        <v>45408.340810185196</v>
      </c>
      <c r="E9" s="6" t="s">
        <v>50</v>
      </c>
      <c r="F9" s="6" t="s">
        <v>51</v>
      </c>
      <c r="G9" s="6" t="s">
        <v>45</v>
      </c>
      <c r="H9" s="8" t="s">
        <v>52</v>
      </c>
      <c r="J9" s="19">
        <f t="shared" si="0"/>
        <v>4</v>
      </c>
      <c r="K9" s="19">
        <f t="shared" si="1"/>
        <v>26</v>
      </c>
      <c r="L9" s="19">
        <f t="shared" si="2"/>
        <v>2024</v>
      </c>
      <c r="M9" s="19"/>
      <c r="N9" s="21">
        <f t="shared" si="3"/>
        <v>45408</v>
      </c>
      <c r="O9" s="19"/>
      <c r="P9" s="21"/>
      <c r="Q9" s="19"/>
      <c r="R9" s="19">
        <f t="shared" ca="1" si="4"/>
        <v>560</v>
      </c>
      <c r="S9" s="19"/>
      <c r="T9" s="19">
        <f t="shared" si="5"/>
        <v>8</v>
      </c>
      <c r="U9" s="19">
        <f t="shared" si="6"/>
        <v>10</v>
      </c>
      <c r="V9" s="19">
        <f t="shared" si="7"/>
        <v>46</v>
      </c>
      <c r="W9" s="19"/>
      <c r="X9" s="22">
        <f t="shared" si="8"/>
        <v>0.34081018518518519</v>
      </c>
      <c r="Y9" s="19" t="str">
        <f t="shared" si="9"/>
        <v>08:10:46 AM</v>
      </c>
      <c r="Z9" s="19"/>
      <c r="AA9" s="19">
        <v>8</v>
      </c>
      <c r="AB9" s="19">
        <f t="shared" si="10"/>
        <v>1</v>
      </c>
    </row>
    <row r="10" spans="1:31">
      <c r="A10" s="5" t="s">
        <v>55</v>
      </c>
      <c r="B10" s="6" t="s">
        <v>56</v>
      </c>
      <c r="C10" s="6" t="s">
        <v>42</v>
      </c>
      <c r="D10" s="7">
        <v>45458.743333333303</v>
      </c>
      <c r="E10" s="6" t="s">
        <v>57</v>
      </c>
      <c r="F10" s="6" t="s">
        <v>58</v>
      </c>
      <c r="G10" s="6" t="s">
        <v>31</v>
      </c>
      <c r="H10" s="8" t="s">
        <v>59</v>
      </c>
      <c r="J10" s="19">
        <f t="shared" si="0"/>
        <v>6</v>
      </c>
      <c r="K10" s="19">
        <f t="shared" si="1"/>
        <v>15</v>
      </c>
      <c r="L10" s="19">
        <f t="shared" si="2"/>
        <v>2024</v>
      </c>
      <c r="M10" s="19"/>
      <c r="N10" s="21">
        <f t="shared" si="3"/>
        <v>45458</v>
      </c>
      <c r="O10" s="19"/>
      <c r="P10" s="21"/>
      <c r="Q10" s="19"/>
      <c r="R10" s="19">
        <f t="shared" ca="1" si="4"/>
        <v>510</v>
      </c>
      <c r="S10" s="19"/>
      <c r="T10" s="19">
        <f t="shared" si="5"/>
        <v>17</v>
      </c>
      <c r="U10" s="19">
        <f t="shared" si="6"/>
        <v>50</v>
      </c>
      <c r="V10" s="19">
        <f t="shared" si="7"/>
        <v>24</v>
      </c>
      <c r="W10" s="19"/>
      <c r="X10" s="22">
        <f t="shared" si="8"/>
        <v>0.74333333333333329</v>
      </c>
      <c r="Y10" s="19" t="str">
        <f t="shared" si="9"/>
        <v>05:50:24 PM</v>
      </c>
      <c r="Z10" s="19"/>
      <c r="AA10" s="19">
        <v>9</v>
      </c>
      <c r="AB10" s="19">
        <f t="shared" si="10"/>
        <v>1</v>
      </c>
    </row>
    <row r="11" spans="1:31">
      <c r="A11" s="5" t="s">
        <v>60</v>
      </c>
      <c r="B11" s="6" t="s">
        <v>61</v>
      </c>
      <c r="C11" s="6" t="s">
        <v>35</v>
      </c>
      <c r="D11" s="7">
        <v>45480.608055555596</v>
      </c>
      <c r="E11" s="6" t="s">
        <v>62</v>
      </c>
      <c r="F11" s="6" t="s">
        <v>58</v>
      </c>
      <c r="G11" s="6" t="s">
        <v>63</v>
      </c>
      <c r="H11" s="8" t="s">
        <v>64</v>
      </c>
      <c r="J11" s="19">
        <f t="shared" si="0"/>
        <v>7</v>
      </c>
      <c r="K11" s="19">
        <f t="shared" si="1"/>
        <v>7</v>
      </c>
      <c r="L11" s="19">
        <f t="shared" si="2"/>
        <v>2024</v>
      </c>
      <c r="M11" s="19"/>
      <c r="N11" s="21">
        <f t="shared" si="3"/>
        <v>45480</v>
      </c>
      <c r="O11" s="19"/>
      <c r="P11" s="21"/>
      <c r="Q11" s="19"/>
      <c r="R11" s="19">
        <f t="shared" ca="1" si="4"/>
        <v>488</v>
      </c>
      <c r="S11" s="19"/>
      <c r="T11" s="19">
        <f t="shared" si="5"/>
        <v>14</v>
      </c>
      <c r="U11" s="19">
        <f t="shared" si="6"/>
        <v>35</v>
      </c>
      <c r="V11" s="19">
        <f t="shared" si="7"/>
        <v>36</v>
      </c>
      <c r="W11" s="19"/>
      <c r="X11" s="22">
        <f t="shared" si="8"/>
        <v>0.60805555555555557</v>
      </c>
      <c r="Y11" s="19" t="str">
        <f t="shared" si="9"/>
        <v>02:35:36 PM</v>
      </c>
      <c r="Z11" s="19"/>
      <c r="AA11" s="19">
        <v>10</v>
      </c>
      <c r="AB11" s="19">
        <f t="shared" si="10"/>
        <v>1</v>
      </c>
    </row>
    <row r="12" spans="1:31">
      <c r="A12" s="5" t="s">
        <v>65</v>
      </c>
      <c r="B12" s="6" t="s">
        <v>66</v>
      </c>
      <c r="C12" s="6" t="s">
        <v>42</v>
      </c>
      <c r="D12" s="7">
        <v>45455.284930555601</v>
      </c>
      <c r="E12" s="6" t="s">
        <v>67</v>
      </c>
      <c r="F12" s="6" t="s">
        <v>58</v>
      </c>
      <c r="G12" s="6" t="s">
        <v>68</v>
      </c>
      <c r="H12" s="8" t="s">
        <v>69</v>
      </c>
      <c r="J12" s="19">
        <f t="shared" si="0"/>
        <v>6</v>
      </c>
      <c r="K12" s="19">
        <f t="shared" si="1"/>
        <v>12</v>
      </c>
      <c r="L12" s="19">
        <f t="shared" si="2"/>
        <v>2024</v>
      </c>
      <c r="M12" s="19"/>
      <c r="N12" s="21">
        <f t="shared" si="3"/>
        <v>45455</v>
      </c>
      <c r="O12" s="19"/>
      <c r="P12" s="21"/>
      <c r="Q12" s="19"/>
      <c r="R12" s="19">
        <f t="shared" ca="1" si="4"/>
        <v>513</v>
      </c>
      <c r="S12" s="19"/>
      <c r="T12" s="19">
        <f t="shared" si="5"/>
        <v>6</v>
      </c>
      <c r="U12" s="19">
        <f t="shared" si="6"/>
        <v>50</v>
      </c>
      <c r="V12" s="19">
        <f t="shared" si="7"/>
        <v>18</v>
      </c>
      <c r="W12" s="19"/>
      <c r="X12" s="22">
        <f t="shared" si="8"/>
        <v>0.28493055555555558</v>
      </c>
      <c r="Y12" s="19" t="str">
        <f t="shared" si="9"/>
        <v>06:50:18 AM</v>
      </c>
      <c r="Z12" s="19"/>
      <c r="AA12" s="19">
        <v>11</v>
      </c>
      <c r="AB12" s="19">
        <f t="shared" si="10"/>
        <v>1</v>
      </c>
    </row>
    <row r="13" spans="1:31">
      <c r="A13" s="5" t="s">
        <v>70</v>
      </c>
      <c r="B13" s="6" t="s">
        <v>71</v>
      </c>
      <c r="C13" s="6" t="s">
        <v>49</v>
      </c>
      <c r="D13" s="7">
        <v>44951.552141203698</v>
      </c>
      <c r="E13" s="6" t="s">
        <v>72</v>
      </c>
      <c r="F13" s="6" t="s">
        <v>73</v>
      </c>
      <c r="G13" s="6" t="s">
        <v>31</v>
      </c>
      <c r="H13" s="8" t="s">
        <v>74</v>
      </c>
      <c r="J13" s="19">
        <f t="shared" si="0"/>
        <v>1</v>
      </c>
      <c r="K13" s="19">
        <f t="shared" si="1"/>
        <v>25</v>
      </c>
      <c r="L13" s="19">
        <f t="shared" si="2"/>
        <v>2023</v>
      </c>
      <c r="M13" s="19"/>
      <c r="N13" s="21">
        <f t="shared" si="3"/>
        <v>44951</v>
      </c>
      <c r="O13" s="19"/>
      <c r="P13" s="21"/>
      <c r="Q13" s="19"/>
      <c r="R13" s="19">
        <f t="shared" ca="1" si="4"/>
        <v>1017</v>
      </c>
      <c r="S13" s="19"/>
      <c r="T13" s="19">
        <f t="shared" si="5"/>
        <v>13</v>
      </c>
      <c r="U13" s="19">
        <f t="shared" si="6"/>
        <v>15</v>
      </c>
      <c r="V13" s="19">
        <f t="shared" si="7"/>
        <v>5</v>
      </c>
      <c r="W13" s="19"/>
      <c r="X13" s="22">
        <f t="shared" si="8"/>
        <v>0.55214120370370368</v>
      </c>
      <c r="Y13" s="19" t="str">
        <f t="shared" si="9"/>
        <v>01:15:05 PM</v>
      </c>
      <c r="Z13" s="19"/>
      <c r="AA13" s="19">
        <v>12</v>
      </c>
      <c r="AB13" s="19">
        <f t="shared" si="10"/>
        <v>1</v>
      </c>
    </row>
    <row r="14" spans="1:31">
      <c r="A14" s="5" t="s">
        <v>75</v>
      </c>
      <c r="B14" s="6" t="s">
        <v>48</v>
      </c>
      <c r="C14" s="6" t="s">
        <v>35</v>
      </c>
      <c r="D14" s="7">
        <v>45002.490034722199</v>
      </c>
      <c r="E14" s="6" t="s">
        <v>50</v>
      </c>
      <c r="F14" s="6" t="s">
        <v>51</v>
      </c>
      <c r="G14" s="6" t="s">
        <v>45</v>
      </c>
      <c r="H14" s="8" t="s">
        <v>52</v>
      </c>
      <c r="J14" s="19">
        <f t="shared" si="0"/>
        <v>3</v>
      </c>
      <c r="K14" s="19">
        <f t="shared" si="1"/>
        <v>17</v>
      </c>
      <c r="L14" s="19">
        <f t="shared" si="2"/>
        <v>2023</v>
      </c>
      <c r="M14" s="19"/>
      <c r="N14" s="21">
        <f t="shared" si="3"/>
        <v>45002</v>
      </c>
      <c r="O14" s="19"/>
      <c r="P14" s="21"/>
      <c r="Q14" s="19"/>
      <c r="R14" s="19">
        <f t="shared" ca="1" si="4"/>
        <v>966</v>
      </c>
      <c r="S14" s="19"/>
      <c r="T14" s="19">
        <f t="shared" si="5"/>
        <v>11</v>
      </c>
      <c r="U14" s="19">
        <f t="shared" si="6"/>
        <v>45</v>
      </c>
      <c r="V14" s="19">
        <f t="shared" si="7"/>
        <v>39</v>
      </c>
      <c r="W14" s="19"/>
      <c r="X14" s="22">
        <f t="shared" si="8"/>
        <v>0.49003472222222222</v>
      </c>
      <c r="Y14" s="19" t="str">
        <f t="shared" si="9"/>
        <v>11:45:39 AM</v>
      </c>
      <c r="Z14" s="19"/>
      <c r="AA14" s="19">
        <v>13</v>
      </c>
      <c r="AB14" s="19">
        <f t="shared" si="10"/>
        <v>1</v>
      </c>
    </row>
    <row r="15" spans="1:31">
      <c r="A15" s="5" t="s">
        <v>76</v>
      </c>
      <c r="B15" s="6" t="s">
        <v>77</v>
      </c>
      <c r="C15" s="6" t="s">
        <v>49</v>
      </c>
      <c r="D15" s="7">
        <v>45078.417256944398</v>
      </c>
      <c r="E15" s="6" t="s">
        <v>78</v>
      </c>
      <c r="F15" s="6" t="s">
        <v>58</v>
      </c>
      <c r="G15" s="6" t="s">
        <v>31</v>
      </c>
      <c r="H15" s="8" t="s">
        <v>79</v>
      </c>
      <c r="J15" s="19">
        <f t="shared" si="0"/>
        <v>6</v>
      </c>
      <c r="K15" s="19">
        <f t="shared" si="1"/>
        <v>1</v>
      </c>
      <c r="L15" s="19">
        <f t="shared" si="2"/>
        <v>2023</v>
      </c>
      <c r="M15" s="19"/>
      <c r="N15" s="21">
        <f t="shared" si="3"/>
        <v>45078</v>
      </c>
      <c r="O15" s="19"/>
      <c r="P15" s="21"/>
      <c r="Q15" s="19"/>
      <c r="R15" s="19">
        <f t="shared" ca="1" si="4"/>
        <v>890</v>
      </c>
      <c r="S15" s="19"/>
      <c r="T15" s="19">
        <f t="shared" si="5"/>
        <v>10</v>
      </c>
      <c r="U15" s="19">
        <f t="shared" si="6"/>
        <v>0</v>
      </c>
      <c r="V15" s="19">
        <f t="shared" si="7"/>
        <v>51</v>
      </c>
      <c r="W15" s="19"/>
      <c r="X15" s="22">
        <f t="shared" si="8"/>
        <v>0.41725694444444444</v>
      </c>
      <c r="Y15" s="19" t="str">
        <f t="shared" si="9"/>
        <v>10:00:51 AM</v>
      </c>
      <c r="Z15" s="19"/>
      <c r="AA15" s="19">
        <v>14</v>
      </c>
      <c r="AB15" s="19">
        <f t="shared" si="10"/>
        <v>1</v>
      </c>
    </row>
    <row r="16" spans="1:31">
      <c r="A16" s="5" t="s">
        <v>80</v>
      </c>
      <c r="B16" s="6" t="s">
        <v>81</v>
      </c>
      <c r="C16" s="6" t="s">
        <v>49</v>
      </c>
      <c r="D16" s="7">
        <v>45168.729328703703</v>
      </c>
      <c r="E16" s="6" t="s">
        <v>82</v>
      </c>
      <c r="F16" s="6" t="s">
        <v>83</v>
      </c>
      <c r="G16" s="6" t="s">
        <v>31</v>
      </c>
      <c r="H16" s="8" t="s">
        <v>84</v>
      </c>
      <c r="J16" s="19">
        <f t="shared" si="0"/>
        <v>8</v>
      </c>
      <c r="K16" s="19">
        <f t="shared" si="1"/>
        <v>30</v>
      </c>
      <c r="L16" s="19">
        <f t="shared" si="2"/>
        <v>2023</v>
      </c>
      <c r="M16" s="19"/>
      <c r="N16" s="21">
        <f t="shared" si="3"/>
        <v>45168</v>
      </c>
      <c r="O16" s="19"/>
      <c r="P16" s="21"/>
      <c r="Q16" s="19"/>
      <c r="R16" s="19">
        <f t="shared" ca="1" si="4"/>
        <v>800</v>
      </c>
      <c r="S16" s="19"/>
      <c r="T16" s="19">
        <f t="shared" si="5"/>
        <v>17</v>
      </c>
      <c r="U16" s="19">
        <f t="shared" si="6"/>
        <v>30</v>
      </c>
      <c r="V16" s="19">
        <f t="shared" si="7"/>
        <v>14</v>
      </c>
      <c r="W16" s="19"/>
      <c r="X16" s="22">
        <f t="shared" si="8"/>
        <v>0.72932870370370373</v>
      </c>
      <c r="Y16" s="19" t="str">
        <f t="shared" si="9"/>
        <v>05:30:14 PM</v>
      </c>
      <c r="Z16" s="19"/>
      <c r="AA16" s="19">
        <v>15</v>
      </c>
      <c r="AB16" s="19">
        <f t="shared" si="10"/>
        <v>1</v>
      </c>
    </row>
    <row r="17" spans="1:28">
      <c r="A17" s="5" t="s">
        <v>85</v>
      </c>
      <c r="B17" s="6" t="s">
        <v>27</v>
      </c>
      <c r="C17" s="6" t="s">
        <v>42</v>
      </c>
      <c r="D17" s="7">
        <v>45218.319780092599</v>
      </c>
      <c r="E17" s="6" t="s">
        <v>29</v>
      </c>
      <c r="F17" s="6" t="s">
        <v>30</v>
      </c>
      <c r="G17" s="6" t="s">
        <v>86</v>
      </c>
      <c r="H17" s="8" t="s">
        <v>32</v>
      </c>
      <c r="J17" s="19">
        <f t="shared" si="0"/>
        <v>10</v>
      </c>
      <c r="K17" s="19">
        <f t="shared" si="1"/>
        <v>19</v>
      </c>
      <c r="L17" s="19">
        <f t="shared" si="2"/>
        <v>2023</v>
      </c>
      <c r="M17" s="19"/>
      <c r="N17" s="21">
        <f t="shared" si="3"/>
        <v>45218</v>
      </c>
      <c r="O17" s="19"/>
      <c r="P17" s="21"/>
      <c r="Q17" s="19"/>
      <c r="R17" s="19">
        <f t="shared" ca="1" si="4"/>
        <v>750</v>
      </c>
      <c r="S17" s="19"/>
      <c r="T17" s="19">
        <f t="shared" si="5"/>
        <v>7</v>
      </c>
      <c r="U17" s="19">
        <f t="shared" si="6"/>
        <v>40</v>
      </c>
      <c r="V17" s="19">
        <f t="shared" si="7"/>
        <v>29</v>
      </c>
      <c r="W17" s="19"/>
      <c r="X17" s="22">
        <f t="shared" si="8"/>
        <v>0.3197800925925926</v>
      </c>
      <c r="Y17" s="19" t="str">
        <f t="shared" si="9"/>
        <v>07:40:29 AM</v>
      </c>
      <c r="Z17" s="19"/>
      <c r="AA17" s="19">
        <v>16</v>
      </c>
      <c r="AB17" s="19">
        <f t="shared" si="10"/>
        <v>1</v>
      </c>
    </row>
    <row r="18" spans="1:28">
      <c r="A18" s="5" t="s">
        <v>87</v>
      </c>
      <c r="B18" s="6" t="s">
        <v>41</v>
      </c>
      <c r="C18" s="6" t="s">
        <v>35</v>
      </c>
      <c r="D18" s="7">
        <v>45350.719236111101</v>
      </c>
      <c r="E18" s="6" t="s">
        <v>43</v>
      </c>
      <c r="F18" s="6" t="s">
        <v>44</v>
      </c>
      <c r="G18" s="6" t="s">
        <v>45</v>
      </c>
      <c r="H18" s="8" t="s">
        <v>46</v>
      </c>
      <c r="J18" s="19">
        <f t="shared" si="0"/>
        <v>2</v>
      </c>
      <c r="K18" s="19">
        <f t="shared" si="1"/>
        <v>28</v>
      </c>
      <c r="L18" s="19">
        <f t="shared" si="2"/>
        <v>2024</v>
      </c>
      <c r="M18" s="19"/>
      <c r="N18" s="21">
        <f t="shared" si="3"/>
        <v>45350</v>
      </c>
      <c r="O18" s="19"/>
      <c r="P18" s="21"/>
      <c r="Q18" s="19"/>
      <c r="R18" s="19">
        <f t="shared" ca="1" si="4"/>
        <v>618</v>
      </c>
      <c r="S18" s="19"/>
      <c r="T18" s="19">
        <f t="shared" si="5"/>
        <v>17</v>
      </c>
      <c r="U18" s="19">
        <f t="shared" si="6"/>
        <v>15</v>
      </c>
      <c r="V18" s="19">
        <f t="shared" si="7"/>
        <v>42</v>
      </c>
      <c r="W18" s="19"/>
      <c r="X18" s="22">
        <f t="shared" si="8"/>
        <v>0.71923611111111108</v>
      </c>
      <c r="Y18" s="19" t="str">
        <f t="shared" si="9"/>
        <v>05:15:42 PM</v>
      </c>
      <c r="Z18" s="19"/>
      <c r="AA18" s="19">
        <v>17</v>
      </c>
      <c r="AB18" s="19">
        <f t="shared" si="10"/>
        <v>7</v>
      </c>
    </row>
    <row r="19" spans="1:28">
      <c r="A19" s="5" t="s">
        <v>88</v>
      </c>
      <c r="B19" s="6" t="s">
        <v>89</v>
      </c>
      <c r="C19" s="6" t="s">
        <v>42</v>
      </c>
      <c r="D19" s="7">
        <v>45418.726354166698</v>
      </c>
      <c r="E19" s="6" t="s">
        <v>90</v>
      </c>
      <c r="F19" s="6" t="s">
        <v>83</v>
      </c>
      <c r="G19" s="6" t="s">
        <v>91</v>
      </c>
      <c r="H19" s="8" t="s">
        <v>92</v>
      </c>
      <c r="J19" s="19">
        <f t="shared" si="0"/>
        <v>5</v>
      </c>
      <c r="K19" s="19">
        <f t="shared" si="1"/>
        <v>6</v>
      </c>
      <c r="L19" s="19">
        <f t="shared" si="2"/>
        <v>2024</v>
      </c>
      <c r="M19" s="19"/>
      <c r="N19" s="21">
        <f t="shared" si="3"/>
        <v>45418</v>
      </c>
      <c r="O19" s="19"/>
      <c r="P19" s="21"/>
      <c r="Q19" s="19"/>
      <c r="R19" s="19">
        <f t="shared" ca="1" si="4"/>
        <v>550</v>
      </c>
      <c r="S19" s="19"/>
      <c r="T19" s="19">
        <f t="shared" si="5"/>
        <v>17</v>
      </c>
      <c r="U19" s="19">
        <f t="shared" si="6"/>
        <v>25</v>
      </c>
      <c r="V19" s="19">
        <f t="shared" si="7"/>
        <v>57</v>
      </c>
      <c r="W19" s="19"/>
      <c r="X19" s="22">
        <f t="shared" si="8"/>
        <v>0.72635416666666663</v>
      </c>
      <c r="Y19" s="19" t="str">
        <f t="shared" si="9"/>
        <v>05:25:57 PM</v>
      </c>
      <c r="Z19" s="19"/>
      <c r="AA19" s="19">
        <v>18</v>
      </c>
      <c r="AB19" s="19">
        <f t="shared" si="10"/>
        <v>0</v>
      </c>
    </row>
    <row r="20" spans="1:28">
      <c r="A20" s="5" t="s">
        <v>93</v>
      </c>
      <c r="B20" s="6" t="s">
        <v>41</v>
      </c>
      <c r="C20" s="6" t="s">
        <v>49</v>
      </c>
      <c r="D20" s="7">
        <v>45496.291701388902</v>
      </c>
      <c r="E20" s="6" t="s">
        <v>43</v>
      </c>
      <c r="F20" s="6" t="s">
        <v>44</v>
      </c>
      <c r="G20" s="6" t="s">
        <v>45</v>
      </c>
      <c r="H20" s="8" t="s">
        <v>46</v>
      </c>
      <c r="J20" s="19">
        <f t="shared" si="0"/>
        <v>7</v>
      </c>
      <c r="K20" s="19">
        <f t="shared" si="1"/>
        <v>23</v>
      </c>
      <c r="L20" s="19">
        <f t="shared" si="2"/>
        <v>2024</v>
      </c>
      <c r="M20" s="19"/>
      <c r="N20" s="21">
        <f t="shared" si="3"/>
        <v>45496</v>
      </c>
      <c r="O20" s="19"/>
      <c r="P20" s="21"/>
      <c r="Q20" s="19"/>
      <c r="R20" s="19">
        <f t="shared" ca="1" si="4"/>
        <v>472</v>
      </c>
      <c r="S20" s="19"/>
      <c r="T20" s="19">
        <f t="shared" si="5"/>
        <v>7</v>
      </c>
      <c r="U20" s="19">
        <f t="shared" si="6"/>
        <v>0</v>
      </c>
      <c r="V20" s="19">
        <f t="shared" si="7"/>
        <v>3</v>
      </c>
      <c r="W20" s="19"/>
      <c r="X20" s="22">
        <f t="shared" si="8"/>
        <v>0.29170138888888891</v>
      </c>
      <c r="Y20" s="19" t="str">
        <f t="shared" si="9"/>
        <v>07:00:03 AM</v>
      </c>
      <c r="Z20" s="19"/>
      <c r="AA20" s="19">
        <v>19</v>
      </c>
      <c r="AB20" s="19">
        <f t="shared" si="10"/>
        <v>0</v>
      </c>
    </row>
    <row r="21" spans="1:28">
      <c r="A21" s="5" t="s">
        <v>94</v>
      </c>
      <c r="B21" s="9" t="s">
        <v>41</v>
      </c>
      <c r="C21" s="9" t="s">
        <v>49</v>
      </c>
      <c r="D21" s="10">
        <v>45422.739884259303</v>
      </c>
      <c r="E21" s="9" t="s">
        <v>43</v>
      </c>
      <c r="F21" s="9" t="s">
        <v>44</v>
      </c>
      <c r="G21" s="9" t="s">
        <v>91</v>
      </c>
      <c r="H21" s="11" t="s">
        <v>46</v>
      </c>
      <c r="J21" s="19">
        <f t="shared" si="0"/>
        <v>5</v>
      </c>
      <c r="K21" s="19">
        <f t="shared" si="1"/>
        <v>10</v>
      </c>
      <c r="L21" s="19">
        <f t="shared" si="2"/>
        <v>2024</v>
      </c>
      <c r="M21" s="19"/>
      <c r="N21" s="21">
        <f t="shared" si="3"/>
        <v>45422</v>
      </c>
      <c r="O21" s="19"/>
      <c r="P21" s="21"/>
      <c r="Q21" s="19"/>
      <c r="R21" s="19">
        <f t="shared" ca="1" si="4"/>
        <v>546</v>
      </c>
      <c r="S21" s="19"/>
      <c r="T21" s="19">
        <f t="shared" si="5"/>
        <v>17</v>
      </c>
      <c r="U21" s="19">
        <f t="shared" si="6"/>
        <v>45</v>
      </c>
      <c r="V21" s="19">
        <f t="shared" si="7"/>
        <v>26</v>
      </c>
      <c r="W21" s="19"/>
      <c r="X21" s="22">
        <f t="shared" si="8"/>
        <v>0.73988425925925927</v>
      </c>
      <c r="Y21" s="19" t="str">
        <f t="shared" si="9"/>
        <v>05:45:26 PM</v>
      </c>
      <c r="Z21" s="19"/>
      <c r="AA21" s="19">
        <v>20</v>
      </c>
      <c r="AB21" s="19">
        <f t="shared" si="10"/>
        <v>0</v>
      </c>
    </row>
    <row r="22" spans="1:28"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>
        <v>21</v>
      </c>
      <c r="AB22" s="19">
        <f t="shared" si="10"/>
        <v>0</v>
      </c>
    </row>
    <row r="23" spans="1:28"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>
        <v>22</v>
      </c>
      <c r="AB23" s="19">
        <f t="shared" si="10"/>
        <v>0</v>
      </c>
    </row>
    <row r="24" spans="1:28"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>
        <v>23</v>
      </c>
      <c r="AB24" s="19">
        <f t="shared" si="10"/>
        <v>0</v>
      </c>
    </row>
    <row r="25" spans="1:28"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>
        <v>24</v>
      </c>
      <c r="AB25" s="19">
        <f t="shared" si="10"/>
        <v>0</v>
      </c>
    </row>
    <row r="26" spans="1:28">
      <c r="AB26" s="19"/>
    </row>
  </sheetData>
  <sortState xmlns:xlrd2="http://schemas.microsoft.com/office/spreadsheetml/2017/richdata2" ref="B2:H22">
    <sortCondition ref="D1:D2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topLeftCell="D1" workbookViewId="0">
      <selection activeCell="R2" sqref="R2"/>
    </sheetView>
  </sheetViews>
  <sheetFormatPr defaultColWidth="9" defaultRowHeight="15"/>
  <cols>
    <col min="1" max="1" width="11.7109375" customWidth="1"/>
    <col min="2" max="2" width="16.140625" customWidth="1"/>
    <col min="3" max="3" width="27.28515625" customWidth="1"/>
    <col min="4" max="4" width="23" customWidth="1"/>
    <col min="5" max="5" width="29.85546875" hidden="1" customWidth="1"/>
    <col min="6" max="6" width="11" hidden="1" customWidth="1"/>
    <col min="7" max="7" width="22" hidden="1" customWidth="1"/>
    <col min="8" max="8" width="40" hidden="1" customWidth="1"/>
    <col min="13" max="13" width="1.85546875" customWidth="1"/>
    <col min="14" max="14" width="15.85546875" customWidth="1"/>
    <col min="16" max="16" width="9.7109375" customWidth="1"/>
    <col min="18" max="18" width="18" customWidth="1"/>
  </cols>
  <sheetData>
    <row r="1" spans="1:18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J1" s="12" t="s">
        <v>8</v>
      </c>
      <c r="K1" s="12" t="s">
        <v>9</v>
      </c>
      <c r="L1" s="12" t="s">
        <v>10</v>
      </c>
      <c r="N1" s="12" t="s">
        <v>11</v>
      </c>
      <c r="P1" s="12" t="s">
        <v>12</v>
      </c>
      <c r="R1" s="12" t="s">
        <v>13</v>
      </c>
    </row>
    <row r="2" spans="1:18">
      <c r="A2" s="5" t="s">
        <v>19</v>
      </c>
      <c r="B2" s="6" t="s">
        <v>20</v>
      </c>
      <c r="C2" s="6" t="s">
        <v>21</v>
      </c>
      <c r="D2" s="7">
        <v>44971.640451388899</v>
      </c>
      <c r="E2" s="6" t="s">
        <v>22</v>
      </c>
      <c r="F2" s="6" t="s">
        <v>23</v>
      </c>
      <c r="G2" s="6" t="s">
        <v>24</v>
      </c>
      <c r="H2" s="8" t="s">
        <v>25</v>
      </c>
      <c r="J2">
        <f>MONTH(D2)</f>
        <v>2</v>
      </c>
      <c r="K2">
        <f>DAY(D2)</f>
        <v>14</v>
      </c>
      <c r="L2">
        <f>YEAR(D2)</f>
        <v>2023</v>
      </c>
      <c r="N2" s="16">
        <f>DATE(L2,J2,K2)</f>
        <v>44971</v>
      </c>
      <c r="P2" s="16">
        <f ca="1">TODAY()</f>
        <v>45968</v>
      </c>
      <c r="R2">
        <f ca="1">DATEDIF(D2,$P$2,"D")</f>
        <v>997</v>
      </c>
    </row>
    <row r="3" spans="1:18">
      <c r="A3" s="5" t="s">
        <v>26</v>
      </c>
      <c r="B3" s="6" t="s">
        <v>27</v>
      </c>
      <c r="C3" s="6" t="s">
        <v>28</v>
      </c>
      <c r="D3" s="7">
        <v>45055.406620370399</v>
      </c>
      <c r="E3" s="6" t="s">
        <v>29</v>
      </c>
      <c r="F3" s="6" t="s">
        <v>30</v>
      </c>
      <c r="G3" s="6" t="s">
        <v>31</v>
      </c>
      <c r="H3" s="8" t="s">
        <v>32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16">
        <f t="shared" ref="N3:N21" si="3">DATE(L3,J3,K3)</f>
        <v>45055</v>
      </c>
      <c r="R3">
        <f ca="1">DATEDIF(D3,$P$2,"D")</f>
        <v>913</v>
      </c>
    </row>
    <row r="4" spans="1:18">
      <c r="A4" s="5" t="s">
        <v>33</v>
      </c>
      <c r="B4" s="6" t="s">
        <v>34</v>
      </c>
      <c r="C4" s="6" t="s">
        <v>35</v>
      </c>
      <c r="D4" s="7">
        <v>45128.729710648098</v>
      </c>
      <c r="E4" s="6" t="s">
        <v>36</v>
      </c>
      <c r="F4" s="6" t="s">
        <v>37</v>
      </c>
      <c r="G4" s="6" t="s">
        <v>31</v>
      </c>
      <c r="H4" s="8" t="s">
        <v>38</v>
      </c>
      <c r="J4">
        <f t="shared" si="0"/>
        <v>7</v>
      </c>
      <c r="K4">
        <f t="shared" si="1"/>
        <v>21</v>
      </c>
      <c r="L4">
        <f t="shared" si="2"/>
        <v>2023</v>
      </c>
      <c r="N4" s="16">
        <f t="shared" si="3"/>
        <v>45128</v>
      </c>
      <c r="R4">
        <f t="shared" ref="R4:R21" ca="1" si="4">DATEDIF(D4,$P$2,"D")</f>
        <v>840</v>
      </c>
    </row>
    <row r="5" spans="1:18">
      <c r="A5" s="5" t="s">
        <v>39</v>
      </c>
      <c r="B5" s="6" t="s">
        <v>20</v>
      </c>
      <c r="C5" s="6" t="s">
        <v>28</v>
      </c>
      <c r="D5" s="7">
        <v>45173.302187499998</v>
      </c>
      <c r="E5" s="6" t="s">
        <v>22</v>
      </c>
      <c r="F5" s="6" t="s">
        <v>23</v>
      </c>
      <c r="G5" s="6" t="s">
        <v>24</v>
      </c>
      <c r="H5" s="8" t="s">
        <v>25</v>
      </c>
      <c r="J5">
        <f t="shared" si="0"/>
        <v>9</v>
      </c>
      <c r="K5">
        <f t="shared" si="1"/>
        <v>4</v>
      </c>
      <c r="L5">
        <f t="shared" si="2"/>
        <v>2023</v>
      </c>
      <c r="N5" s="16">
        <f t="shared" si="3"/>
        <v>45173</v>
      </c>
      <c r="R5">
        <f t="shared" ca="1" si="4"/>
        <v>795</v>
      </c>
    </row>
    <row r="6" spans="1:18">
      <c r="A6" s="5" t="s">
        <v>40</v>
      </c>
      <c r="B6" s="6" t="s">
        <v>41</v>
      </c>
      <c r="C6" s="6" t="s">
        <v>42</v>
      </c>
      <c r="D6" s="7">
        <v>45248.708576388897</v>
      </c>
      <c r="E6" s="6" t="s">
        <v>43</v>
      </c>
      <c r="F6" s="6" t="s">
        <v>44</v>
      </c>
      <c r="G6" s="6" t="s">
        <v>45</v>
      </c>
      <c r="H6" s="8" t="s">
        <v>46</v>
      </c>
      <c r="J6">
        <f t="shared" si="0"/>
        <v>11</v>
      </c>
      <c r="K6">
        <f t="shared" si="1"/>
        <v>18</v>
      </c>
      <c r="L6">
        <f t="shared" si="2"/>
        <v>2023</v>
      </c>
      <c r="N6" s="16">
        <f t="shared" si="3"/>
        <v>45248</v>
      </c>
      <c r="R6">
        <f t="shared" ca="1" si="4"/>
        <v>720</v>
      </c>
    </row>
    <row r="7" spans="1:18">
      <c r="A7" s="5" t="s">
        <v>47</v>
      </c>
      <c r="B7" s="6" t="s">
        <v>48</v>
      </c>
      <c r="C7" s="6" t="s">
        <v>49</v>
      </c>
      <c r="D7" s="7">
        <v>45302.5319212963</v>
      </c>
      <c r="E7" s="6" t="s">
        <v>50</v>
      </c>
      <c r="F7" s="6" t="s">
        <v>51</v>
      </c>
      <c r="G7" s="6" t="s">
        <v>45</v>
      </c>
      <c r="H7" s="8" t="s">
        <v>52</v>
      </c>
      <c r="J7">
        <f t="shared" si="0"/>
        <v>1</v>
      </c>
      <c r="K7">
        <f t="shared" si="1"/>
        <v>11</v>
      </c>
      <c r="L7">
        <f t="shared" si="2"/>
        <v>2024</v>
      </c>
      <c r="N7" s="16">
        <f t="shared" si="3"/>
        <v>45302</v>
      </c>
      <c r="R7">
        <f t="shared" ca="1" si="4"/>
        <v>666</v>
      </c>
    </row>
    <row r="8" spans="1:18">
      <c r="A8" s="5" t="s">
        <v>53</v>
      </c>
      <c r="B8" s="6" t="s">
        <v>34</v>
      </c>
      <c r="C8" s="6" t="s">
        <v>28</v>
      </c>
      <c r="D8" s="7">
        <v>45354.687881944403</v>
      </c>
      <c r="E8" s="6" t="s">
        <v>36</v>
      </c>
      <c r="F8" s="6" t="s">
        <v>37</v>
      </c>
      <c r="G8" s="6" t="s">
        <v>31</v>
      </c>
      <c r="H8" s="8" t="s">
        <v>38</v>
      </c>
      <c r="J8">
        <f t="shared" si="0"/>
        <v>3</v>
      </c>
      <c r="K8">
        <f t="shared" si="1"/>
        <v>3</v>
      </c>
      <c r="L8">
        <f t="shared" si="2"/>
        <v>2024</v>
      </c>
      <c r="N8" s="16">
        <f t="shared" si="3"/>
        <v>45354</v>
      </c>
      <c r="P8" s="16"/>
      <c r="R8">
        <f t="shared" ca="1" si="4"/>
        <v>614</v>
      </c>
    </row>
    <row r="9" spans="1:18">
      <c r="A9" s="5" t="s">
        <v>54</v>
      </c>
      <c r="B9" s="6" t="s">
        <v>48</v>
      </c>
      <c r="C9" s="6" t="s">
        <v>21</v>
      </c>
      <c r="D9" s="7">
        <v>45408.340810185196</v>
      </c>
      <c r="E9" s="6" t="s">
        <v>50</v>
      </c>
      <c r="F9" s="6" t="s">
        <v>51</v>
      </c>
      <c r="G9" s="6" t="s">
        <v>45</v>
      </c>
      <c r="H9" s="8" t="s">
        <v>52</v>
      </c>
      <c r="J9">
        <f t="shared" si="0"/>
        <v>4</v>
      </c>
      <c r="K9">
        <f t="shared" si="1"/>
        <v>26</v>
      </c>
      <c r="L9">
        <f t="shared" si="2"/>
        <v>2024</v>
      </c>
      <c r="N9" s="16">
        <f t="shared" si="3"/>
        <v>45408</v>
      </c>
      <c r="R9">
        <f t="shared" ca="1" si="4"/>
        <v>560</v>
      </c>
    </row>
    <row r="10" spans="1:18">
      <c r="A10" s="5" t="s">
        <v>55</v>
      </c>
      <c r="B10" s="6" t="s">
        <v>56</v>
      </c>
      <c r="C10" s="6" t="s">
        <v>42</v>
      </c>
      <c r="D10" s="7">
        <v>45458.743333333303</v>
      </c>
      <c r="E10" s="6" t="s">
        <v>57</v>
      </c>
      <c r="F10" s="6" t="s">
        <v>58</v>
      </c>
      <c r="G10" s="6" t="s">
        <v>31</v>
      </c>
      <c r="H10" s="8" t="s">
        <v>59</v>
      </c>
      <c r="J10">
        <f t="shared" si="0"/>
        <v>6</v>
      </c>
      <c r="K10">
        <f t="shared" si="1"/>
        <v>15</v>
      </c>
      <c r="L10">
        <f t="shared" si="2"/>
        <v>2024</v>
      </c>
      <c r="N10" s="16">
        <f t="shared" si="3"/>
        <v>45458</v>
      </c>
      <c r="R10">
        <f t="shared" ca="1" si="4"/>
        <v>510</v>
      </c>
    </row>
    <row r="11" spans="1:18">
      <c r="A11" s="5" t="s">
        <v>60</v>
      </c>
      <c r="B11" s="6" t="s">
        <v>61</v>
      </c>
      <c r="C11" s="6" t="s">
        <v>35</v>
      </c>
      <c r="D11" s="7">
        <v>45480.608055555596</v>
      </c>
      <c r="E11" s="6" t="s">
        <v>62</v>
      </c>
      <c r="F11" s="6" t="s">
        <v>58</v>
      </c>
      <c r="G11" s="6" t="s">
        <v>63</v>
      </c>
      <c r="H11" s="8" t="s">
        <v>64</v>
      </c>
      <c r="J11">
        <f t="shared" si="0"/>
        <v>7</v>
      </c>
      <c r="K11">
        <f t="shared" si="1"/>
        <v>7</v>
      </c>
      <c r="L11">
        <f t="shared" si="2"/>
        <v>2024</v>
      </c>
      <c r="N11" s="16">
        <f t="shared" si="3"/>
        <v>45480</v>
      </c>
      <c r="R11">
        <f t="shared" ca="1" si="4"/>
        <v>488</v>
      </c>
    </row>
    <row r="12" spans="1:18">
      <c r="A12" s="5" t="s">
        <v>65</v>
      </c>
      <c r="B12" s="6" t="s">
        <v>66</v>
      </c>
      <c r="C12" s="6" t="s">
        <v>42</v>
      </c>
      <c r="D12" s="7">
        <v>45455.284930555601</v>
      </c>
      <c r="E12" s="6" t="s">
        <v>67</v>
      </c>
      <c r="F12" s="6" t="s">
        <v>58</v>
      </c>
      <c r="G12" s="6" t="s">
        <v>68</v>
      </c>
      <c r="H12" s="8" t="s">
        <v>69</v>
      </c>
      <c r="J12">
        <f t="shared" si="0"/>
        <v>6</v>
      </c>
      <c r="K12">
        <f t="shared" si="1"/>
        <v>12</v>
      </c>
      <c r="L12">
        <f t="shared" si="2"/>
        <v>2024</v>
      </c>
      <c r="N12" s="16">
        <f t="shared" si="3"/>
        <v>45455</v>
      </c>
      <c r="R12">
        <f t="shared" ca="1" si="4"/>
        <v>513</v>
      </c>
    </row>
    <row r="13" spans="1:18">
      <c r="A13" s="5" t="s">
        <v>70</v>
      </c>
      <c r="B13" s="6" t="s">
        <v>71</v>
      </c>
      <c r="C13" s="6" t="s">
        <v>49</v>
      </c>
      <c r="D13" s="7">
        <v>44951.552141203698</v>
      </c>
      <c r="E13" s="6" t="s">
        <v>72</v>
      </c>
      <c r="F13" s="6" t="s">
        <v>73</v>
      </c>
      <c r="G13" s="6" t="s">
        <v>31</v>
      </c>
      <c r="H13" s="8" t="s">
        <v>74</v>
      </c>
      <c r="J13">
        <f t="shared" si="0"/>
        <v>1</v>
      </c>
      <c r="K13">
        <f t="shared" si="1"/>
        <v>25</v>
      </c>
      <c r="L13">
        <f t="shared" si="2"/>
        <v>2023</v>
      </c>
      <c r="N13" s="16">
        <f t="shared" si="3"/>
        <v>44951</v>
      </c>
      <c r="R13">
        <f t="shared" ca="1" si="4"/>
        <v>1017</v>
      </c>
    </row>
    <row r="14" spans="1:18">
      <c r="A14" s="5" t="s">
        <v>75</v>
      </c>
      <c r="B14" s="6" t="s">
        <v>48</v>
      </c>
      <c r="C14" s="6" t="s">
        <v>35</v>
      </c>
      <c r="D14" s="7">
        <v>45002.490034722199</v>
      </c>
      <c r="E14" s="6" t="s">
        <v>50</v>
      </c>
      <c r="F14" s="6" t="s">
        <v>51</v>
      </c>
      <c r="G14" s="6" t="s">
        <v>45</v>
      </c>
      <c r="H14" s="8" t="s">
        <v>52</v>
      </c>
      <c r="J14">
        <f t="shared" si="0"/>
        <v>3</v>
      </c>
      <c r="K14">
        <f t="shared" si="1"/>
        <v>17</v>
      </c>
      <c r="L14">
        <f t="shared" si="2"/>
        <v>2023</v>
      </c>
      <c r="N14" s="16">
        <f t="shared" si="3"/>
        <v>45002</v>
      </c>
      <c r="R14">
        <f t="shared" ca="1" si="4"/>
        <v>966</v>
      </c>
    </row>
    <row r="15" spans="1:18">
      <c r="A15" s="5" t="s">
        <v>76</v>
      </c>
      <c r="B15" s="6" t="s">
        <v>77</v>
      </c>
      <c r="C15" s="6" t="s">
        <v>49</v>
      </c>
      <c r="D15" s="7">
        <v>45078.417256944398</v>
      </c>
      <c r="E15" s="6" t="s">
        <v>78</v>
      </c>
      <c r="F15" s="6" t="s">
        <v>58</v>
      </c>
      <c r="G15" s="6" t="s">
        <v>31</v>
      </c>
      <c r="H15" s="8" t="s">
        <v>79</v>
      </c>
      <c r="J15">
        <f t="shared" si="0"/>
        <v>6</v>
      </c>
      <c r="K15">
        <f t="shared" si="1"/>
        <v>1</v>
      </c>
      <c r="L15">
        <f t="shared" si="2"/>
        <v>2023</v>
      </c>
      <c r="N15" s="16">
        <f t="shared" si="3"/>
        <v>45078</v>
      </c>
      <c r="R15">
        <f t="shared" ca="1" si="4"/>
        <v>890</v>
      </c>
    </row>
    <row r="16" spans="1:18">
      <c r="A16" s="5" t="s">
        <v>80</v>
      </c>
      <c r="B16" s="6" t="s">
        <v>81</v>
      </c>
      <c r="C16" s="6" t="s">
        <v>49</v>
      </c>
      <c r="D16" s="7">
        <v>45168.729328703703</v>
      </c>
      <c r="E16" s="6" t="s">
        <v>82</v>
      </c>
      <c r="F16" s="6" t="s">
        <v>83</v>
      </c>
      <c r="G16" s="6" t="s">
        <v>31</v>
      </c>
      <c r="H16" s="8" t="s">
        <v>84</v>
      </c>
      <c r="J16">
        <f t="shared" si="0"/>
        <v>8</v>
      </c>
      <c r="K16">
        <f t="shared" si="1"/>
        <v>30</v>
      </c>
      <c r="L16">
        <f t="shared" si="2"/>
        <v>2023</v>
      </c>
      <c r="N16" s="16">
        <f t="shared" si="3"/>
        <v>45168</v>
      </c>
      <c r="R16">
        <f t="shared" ca="1" si="4"/>
        <v>800</v>
      </c>
    </row>
    <row r="17" spans="1:18">
      <c r="A17" s="5" t="s">
        <v>85</v>
      </c>
      <c r="B17" s="6" t="s">
        <v>27</v>
      </c>
      <c r="C17" s="6" t="s">
        <v>42</v>
      </c>
      <c r="D17" s="7">
        <v>45218.319780092599</v>
      </c>
      <c r="E17" s="6" t="s">
        <v>29</v>
      </c>
      <c r="F17" s="6" t="s">
        <v>30</v>
      </c>
      <c r="G17" s="6" t="s">
        <v>86</v>
      </c>
      <c r="H17" s="8" t="s">
        <v>32</v>
      </c>
      <c r="J17">
        <f t="shared" si="0"/>
        <v>10</v>
      </c>
      <c r="K17">
        <f t="shared" si="1"/>
        <v>19</v>
      </c>
      <c r="L17">
        <f t="shared" si="2"/>
        <v>2023</v>
      </c>
      <c r="N17" s="16">
        <f t="shared" si="3"/>
        <v>45218</v>
      </c>
      <c r="R17">
        <f t="shared" ca="1" si="4"/>
        <v>750</v>
      </c>
    </row>
    <row r="18" spans="1:18">
      <c r="A18" s="5" t="s">
        <v>87</v>
      </c>
      <c r="B18" s="6" t="s">
        <v>41</v>
      </c>
      <c r="C18" s="6" t="s">
        <v>35</v>
      </c>
      <c r="D18" s="7">
        <v>45350.719236111101</v>
      </c>
      <c r="E18" s="6" t="s">
        <v>43</v>
      </c>
      <c r="F18" s="6" t="s">
        <v>44</v>
      </c>
      <c r="G18" s="6" t="s">
        <v>45</v>
      </c>
      <c r="H18" s="8" t="s">
        <v>46</v>
      </c>
      <c r="J18">
        <f t="shared" si="0"/>
        <v>2</v>
      </c>
      <c r="K18">
        <f t="shared" si="1"/>
        <v>28</v>
      </c>
      <c r="L18">
        <f t="shared" si="2"/>
        <v>2024</v>
      </c>
      <c r="N18" s="16">
        <f t="shared" si="3"/>
        <v>45350</v>
      </c>
      <c r="R18">
        <f t="shared" ca="1" si="4"/>
        <v>618</v>
      </c>
    </row>
    <row r="19" spans="1:18">
      <c r="A19" s="5" t="s">
        <v>88</v>
      </c>
      <c r="B19" s="6" t="s">
        <v>89</v>
      </c>
      <c r="C19" s="6" t="s">
        <v>42</v>
      </c>
      <c r="D19" s="7">
        <v>45418.726354166698</v>
      </c>
      <c r="E19" s="6" t="s">
        <v>90</v>
      </c>
      <c r="F19" s="6" t="s">
        <v>83</v>
      </c>
      <c r="G19" s="6" t="s">
        <v>91</v>
      </c>
      <c r="H19" s="8" t="s">
        <v>92</v>
      </c>
      <c r="J19">
        <f t="shared" si="0"/>
        <v>5</v>
      </c>
      <c r="K19">
        <f t="shared" si="1"/>
        <v>6</v>
      </c>
      <c r="L19">
        <f t="shared" si="2"/>
        <v>2024</v>
      </c>
      <c r="N19" s="16">
        <f t="shared" si="3"/>
        <v>45418</v>
      </c>
      <c r="R19">
        <f t="shared" ca="1" si="4"/>
        <v>550</v>
      </c>
    </row>
    <row r="20" spans="1:18">
      <c r="A20" s="5" t="s">
        <v>93</v>
      </c>
      <c r="B20" s="6" t="s">
        <v>41</v>
      </c>
      <c r="C20" s="6" t="s">
        <v>49</v>
      </c>
      <c r="D20" s="7">
        <v>45496.291701388902</v>
      </c>
      <c r="E20" s="6" t="s">
        <v>43</v>
      </c>
      <c r="F20" s="6" t="s">
        <v>44</v>
      </c>
      <c r="G20" s="6" t="s">
        <v>45</v>
      </c>
      <c r="H20" s="8" t="s">
        <v>46</v>
      </c>
      <c r="J20">
        <f t="shared" si="0"/>
        <v>7</v>
      </c>
      <c r="K20">
        <f t="shared" si="1"/>
        <v>23</v>
      </c>
      <c r="L20">
        <f t="shared" si="2"/>
        <v>2024</v>
      </c>
      <c r="N20" s="16">
        <f t="shared" si="3"/>
        <v>45496</v>
      </c>
      <c r="R20">
        <f t="shared" ca="1" si="4"/>
        <v>472</v>
      </c>
    </row>
    <row r="21" spans="1:18">
      <c r="A21" s="5" t="s">
        <v>94</v>
      </c>
      <c r="B21" s="9" t="s">
        <v>41</v>
      </c>
      <c r="C21" s="9" t="s">
        <v>49</v>
      </c>
      <c r="D21" s="10">
        <v>45422.739884259303</v>
      </c>
      <c r="E21" s="9" t="s">
        <v>43</v>
      </c>
      <c r="F21" s="9" t="s">
        <v>44</v>
      </c>
      <c r="G21" s="9" t="s">
        <v>91</v>
      </c>
      <c r="H21" s="11" t="s">
        <v>46</v>
      </c>
      <c r="J21">
        <f t="shared" si="0"/>
        <v>5</v>
      </c>
      <c r="K21">
        <f t="shared" si="1"/>
        <v>10</v>
      </c>
      <c r="L21">
        <f t="shared" si="2"/>
        <v>2024</v>
      </c>
      <c r="N21" s="16">
        <f t="shared" si="3"/>
        <v>45422</v>
      </c>
      <c r="R21">
        <f t="shared" ca="1" si="4"/>
        <v>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H1" workbookViewId="0">
      <selection activeCell="J2" sqref="J2"/>
    </sheetView>
  </sheetViews>
  <sheetFormatPr defaultColWidth="9" defaultRowHeight="15"/>
  <cols>
    <col min="1" max="1" width="11.7109375" customWidth="1"/>
    <col min="2" max="2" width="16.140625" customWidth="1"/>
    <col min="3" max="3" width="27.28515625" customWidth="1"/>
    <col min="4" max="4" width="23" customWidth="1"/>
    <col min="5" max="5" width="29.85546875" customWidth="1"/>
    <col min="6" max="6" width="11" customWidth="1"/>
    <col min="7" max="7" width="22" customWidth="1"/>
    <col min="8" max="8" width="40" customWidth="1"/>
    <col min="13" max="13" width="2.7109375" customWidth="1"/>
    <col min="14" max="14" width="15.85546875" customWidth="1"/>
    <col min="15" max="15" width="14.42578125" customWidth="1"/>
  </cols>
  <sheetData>
    <row r="1" spans="1:18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J1" s="12" t="s">
        <v>14</v>
      </c>
      <c r="K1" s="12" t="s">
        <v>15</v>
      </c>
      <c r="L1" s="12" t="s">
        <v>16</v>
      </c>
      <c r="N1" s="12" t="s">
        <v>17</v>
      </c>
      <c r="O1" s="12" t="s">
        <v>17</v>
      </c>
      <c r="Q1" s="12" t="s">
        <v>18</v>
      </c>
      <c r="R1" s="14"/>
    </row>
    <row r="2" spans="1:18">
      <c r="A2" s="5" t="s">
        <v>19</v>
      </c>
      <c r="B2" s="6" t="s">
        <v>20</v>
      </c>
      <c r="C2" s="6" t="s">
        <v>21</v>
      </c>
      <c r="D2" s="7">
        <v>44971.640451388899</v>
      </c>
      <c r="E2" s="6" t="s">
        <v>22</v>
      </c>
      <c r="F2" s="6" t="s">
        <v>23</v>
      </c>
      <c r="G2" s="6" t="s">
        <v>24</v>
      </c>
      <c r="H2" s="8" t="s">
        <v>25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0.64045138888888897</v>
      </c>
      <c r="O2" t="str">
        <f>TEXT(D2,"hh:mm")</f>
        <v>15:22</v>
      </c>
      <c r="Q2" t="s">
        <v>14</v>
      </c>
      <c r="R2" t="s">
        <v>95</v>
      </c>
    </row>
    <row r="3" spans="1:18">
      <c r="A3" s="5" t="s">
        <v>26</v>
      </c>
      <c r="B3" s="6" t="s">
        <v>27</v>
      </c>
      <c r="C3" s="6" t="s">
        <v>28</v>
      </c>
      <c r="D3" s="7">
        <v>45055.406620370399</v>
      </c>
      <c r="E3" s="6" t="s">
        <v>29</v>
      </c>
      <c r="F3" s="6" t="s">
        <v>30</v>
      </c>
      <c r="G3" s="6" t="s">
        <v>31</v>
      </c>
      <c r="H3" s="8" t="s">
        <v>32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0.40662037037037002</v>
      </c>
      <c r="O3" t="str">
        <f t="shared" ref="O3:O21" si="4">TEXT(D3,"hh:mm")</f>
        <v>09:45</v>
      </c>
      <c r="Q3" s="15">
        <v>1</v>
      </c>
      <c r="R3">
        <f>COUNTIF($J$2:$J$21,Q3)</f>
        <v>0</v>
      </c>
    </row>
    <row r="4" spans="1:18">
      <c r="A4" s="5" t="s">
        <v>33</v>
      </c>
      <c r="B4" s="6" t="s">
        <v>34</v>
      </c>
      <c r="C4" s="6" t="s">
        <v>35</v>
      </c>
      <c r="D4" s="7">
        <v>45128.729710648098</v>
      </c>
      <c r="E4" s="6" t="s">
        <v>36</v>
      </c>
      <c r="F4" s="6" t="s">
        <v>37</v>
      </c>
      <c r="G4" s="6" t="s">
        <v>31</v>
      </c>
      <c r="H4" s="8" t="s">
        <v>38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0.72971064814814801</v>
      </c>
      <c r="O4" t="str">
        <f t="shared" si="4"/>
        <v>17:30</v>
      </c>
      <c r="Q4" s="15">
        <v>2</v>
      </c>
      <c r="R4">
        <f t="shared" ref="R4:R26" si="5">COUNTIF($J$2:$J$21,Q4)</f>
        <v>0</v>
      </c>
    </row>
    <row r="5" spans="1:18">
      <c r="A5" s="5" t="s">
        <v>39</v>
      </c>
      <c r="B5" s="6" t="s">
        <v>20</v>
      </c>
      <c r="C5" s="6" t="s">
        <v>28</v>
      </c>
      <c r="D5" s="7">
        <v>45173.302187499998</v>
      </c>
      <c r="E5" s="6" t="s">
        <v>22</v>
      </c>
      <c r="F5" s="6" t="s">
        <v>23</v>
      </c>
      <c r="G5" s="6" t="s">
        <v>24</v>
      </c>
      <c r="H5" s="8" t="s">
        <v>25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5">
        <v>3</v>
      </c>
      <c r="R5">
        <f t="shared" si="5"/>
        <v>0</v>
      </c>
    </row>
    <row r="6" spans="1:18">
      <c r="A6" s="5" t="s">
        <v>40</v>
      </c>
      <c r="B6" s="6" t="s">
        <v>41</v>
      </c>
      <c r="C6" s="6" t="s">
        <v>42</v>
      </c>
      <c r="D6" s="7">
        <v>45248.708576388897</v>
      </c>
      <c r="E6" s="6" t="s">
        <v>43</v>
      </c>
      <c r="F6" s="6" t="s">
        <v>44</v>
      </c>
      <c r="G6" s="6" t="s">
        <v>45</v>
      </c>
      <c r="H6" s="8" t="s">
        <v>46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0.70857638888888896</v>
      </c>
      <c r="O6" t="str">
        <f t="shared" si="4"/>
        <v>17:00</v>
      </c>
      <c r="Q6" s="15">
        <v>4</v>
      </c>
      <c r="R6">
        <f t="shared" si="5"/>
        <v>0</v>
      </c>
    </row>
    <row r="7" spans="1:18">
      <c r="A7" s="5" t="s">
        <v>47</v>
      </c>
      <c r="B7" s="6" t="s">
        <v>48</v>
      </c>
      <c r="C7" s="6" t="s">
        <v>49</v>
      </c>
      <c r="D7" s="7">
        <v>45302.5319212963</v>
      </c>
      <c r="E7" s="6" t="s">
        <v>50</v>
      </c>
      <c r="F7" s="6" t="s">
        <v>51</v>
      </c>
      <c r="G7" s="6" t="s">
        <v>45</v>
      </c>
      <c r="H7" s="8" t="s">
        <v>52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0.53192129629629603</v>
      </c>
      <c r="O7" t="str">
        <f t="shared" si="4"/>
        <v>12:45</v>
      </c>
      <c r="Q7" s="15">
        <v>5</v>
      </c>
      <c r="R7">
        <f t="shared" si="5"/>
        <v>0</v>
      </c>
    </row>
    <row r="8" spans="1:18">
      <c r="A8" s="5" t="s">
        <v>53</v>
      </c>
      <c r="B8" s="6" t="s">
        <v>34</v>
      </c>
      <c r="C8" s="6" t="s">
        <v>28</v>
      </c>
      <c r="D8" s="7">
        <v>45354.687881944403</v>
      </c>
      <c r="E8" s="6" t="s">
        <v>36</v>
      </c>
      <c r="F8" s="6" t="s">
        <v>37</v>
      </c>
      <c r="G8" s="6" t="s">
        <v>31</v>
      </c>
      <c r="H8" s="8" t="s">
        <v>38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0.68788194444444395</v>
      </c>
      <c r="O8" t="str">
        <f t="shared" si="4"/>
        <v>16:30</v>
      </c>
      <c r="Q8" s="15">
        <v>6</v>
      </c>
      <c r="R8">
        <f t="shared" si="5"/>
        <v>1</v>
      </c>
    </row>
    <row r="9" spans="1:18">
      <c r="A9" s="5" t="s">
        <v>54</v>
      </c>
      <c r="B9" s="6" t="s">
        <v>48</v>
      </c>
      <c r="C9" s="6" t="s">
        <v>21</v>
      </c>
      <c r="D9" s="7">
        <v>45408.340810185196</v>
      </c>
      <c r="E9" s="6" t="s">
        <v>50</v>
      </c>
      <c r="F9" s="6" t="s">
        <v>51</v>
      </c>
      <c r="G9" s="6" t="s">
        <v>45</v>
      </c>
      <c r="H9" s="8" t="s">
        <v>52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0.34081018518518502</v>
      </c>
      <c r="O9" t="str">
        <f t="shared" si="4"/>
        <v>08:10</v>
      </c>
      <c r="Q9" s="15">
        <v>7</v>
      </c>
      <c r="R9">
        <f t="shared" si="5"/>
        <v>3</v>
      </c>
    </row>
    <row r="10" spans="1:18">
      <c r="A10" s="5" t="s">
        <v>55</v>
      </c>
      <c r="B10" s="6" t="s">
        <v>56</v>
      </c>
      <c r="C10" s="6" t="s">
        <v>42</v>
      </c>
      <c r="D10" s="7">
        <v>45458.743333333303</v>
      </c>
      <c r="E10" s="6" t="s">
        <v>57</v>
      </c>
      <c r="F10" s="6" t="s">
        <v>58</v>
      </c>
      <c r="G10" s="6" t="s">
        <v>31</v>
      </c>
      <c r="H10" s="8" t="s">
        <v>59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0.74333333333333296</v>
      </c>
      <c r="O10" t="str">
        <f t="shared" si="4"/>
        <v>17:50</v>
      </c>
      <c r="Q10" s="15">
        <v>8</v>
      </c>
      <c r="R10">
        <f t="shared" si="5"/>
        <v>1</v>
      </c>
    </row>
    <row r="11" spans="1:18">
      <c r="A11" s="5" t="s">
        <v>60</v>
      </c>
      <c r="B11" s="6" t="s">
        <v>61</v>
      </c>
      <c r="C11" s="6" t="s">
        <v>35</v>
      </c>
      <c r="D11" s="7">
        <v>45480.608055555596</v>
      </c>
      <c r="E11" s="6" t="s">
        <v>62</v>
      </c>
      <c r="F11" s="6" t="s">
        <v>58</v>
      </c>
      <c r="G11" s="6" t="s">
        <v>63</v>
      </c>
      <c r="H11" s="8" t="s">
        <v>64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0.60805555555555602</v>
      </c>
      <c r="O11" t="str">
        <f t="shared" si="4"/>
        <v>14:35</v>
      </c>
      <c r="Q11" s="15">
        <v>9</v>
      </c>
      <c r="R11">
        <f t="shared" si="5"/>
        <v>1</v>
      </c>
    </row>
    <row r="12" spans="1:18">
      <c r="A12" s="5" t="s">
        <v>65</v>
      </c>
      <c r="B12" s="6" t="s">
        <v>66</v>
      </c>
      <c r="C12" s="6" t="s">
        <v>42</v>
      </c>
      <c r="D12" s="7">
        <v>45455.284930555601</v>
      </c>
      <c r="E12" s="6" t="s">
        <v>67</v>
      </c>
      <c r="F12" s="6" t="s">
        <v>58</v>
      </c>
      <c r="G12" s="6" t="s">
        <v>68</v>
      </c>
      <c r="H12" s="8" t="s">
        <v>69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0.28493055555555602</v>
      </c>
      <c r="O12" t="str">
        <f t="shared" si="4"/>
        <v>06:50</v>
      </c>
      <c r="Q12" s="15">
        <v>10</v>
      </c>
      <c r="R12">
        <f t="shared" si="5"/>
        <v>1</v>
      </c>
    </row>
    <row r="13" spans="1:18">
      <c r="A13" s="5" t="s">
        <v>70</v>
      </c>
      <c r="B13" s="6" t="s">
        <v>71</v>
      </c>
      <c r="C13" s="6" t="s">
        <v>49</v>
      </c>
      <c r="D13" s="7">
        <v>44951.552141203698</v>
      </c>
      <c r="E13" s="6" t="s">
        <v>72</v>
      </c>
      <c r="F13" s="6" t="s">
        <v>73</v>
      </c>
      <c r="G13" s="6" t="s">
        <v>31</v>
      </c>
      <c r="H13" s="8" t="s">
        <v>74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0.55214120370370401</v>
      </c>
      <c r="O13" t="str">
        <f t="shared" si="4"/>
        <v>13:15</v>
      </c>
      <c r="Q13" s="15">
        <v>11</v>
      </c>
      <c r="R13">
        <f t="shared" si="5"/>
        <v>1</v>
      </c>
    </row>
    <row r="14" spans="1:18">
      <c r="A14" s="5" t="s">
        <v>75</v>
      </c>
      <c r="B14" s="6" t="s">
        <v>48</v>
      </c>
      <c r="C14" s="6" t="s">
        <v>35</v>
      </c>
      <c r="D14" s="7">
        <v>45002.490034722199</v>
      </c>
      <c r="E14" s="6" t="s">
        <v>50</v>
      </c>
      <c r="F14" s="6" t="s">
        <v>51</v>
      </c>
      <c r="G14" s="6" t="s">
        <v>45</v>
      </c>
      <c r="H14" s="8" t="s">
        <v>52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</v>
      </c>
      <c r="O14" t="str">
        <f t="shared" si="4"/>
        <v>11:45</v>
      </c>
      <c r="Q14" s="15">
        <v>12</v>
      </c>
      <c r="R14">
        <f t="shared" si="5"/>
        <v>1</v>
      </c>
    </row>
    <row r="15" spans="1:18">
      <c r="A15" s="5" t="s">
        <v>76</v>
      </c>
      <c r="B15" s="6" t="s">
        <v>77</v>
      </c>
      <c r="C15" s="6" t="s">
        <v>49</v>
      </c>
      <c r="D15" s="7">
        <v>45078.417256944398</v>
      </c>
      <c r="E15" s="6" t="s">
        <v>78</v>
      </c>
      <c r="F15" s="6" t="s">
        <v>58</v>
      </c>
      <c r="G15" s="6" t="s">
        <v>31</v>
      </c>
      <c r="H15" s="8" t="s">
        <v>79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</v>
      </c>
      <c r="O15" t="str">
        <f t="shared" si="4"/>
        <v>10:00</v>
      </c>
      <c r="Q15" s="15">
        <v>13</v>
      </c>
      <c r="R15">
        <f t="shared" si="5"/>
        <v>1</v>
      </c>
    </row>
    <row r="16" spans="1:18">
      <c r="A16" s="5" t="s">
        <v>80</v>
      </c>
      <c r="B16" s="6" t="s">
        <v>81</v>
      </c>
      <c r="C16" s="6" t="s">
        <v>49</v>
      </c>
      <c r="D16" s="7">
        <v>45168.729328703703</v>
      </c>
      <c r="E16" s="6" t="s">
        <v>82</v>
      </c>
      <c r="F16" s="6" t="s">
        <v>83</v>
      </c>
      <c r="G16" s="6" t="s">
        <v>31</v>
      </c>
      <c r="H16" s="8" t="s">
        <v>84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0.72932870370370395</v>
      </c>
      <c r="O16" t="str">
        <f t="shared" si="4"/>
        <v>17:30</v>
      </c>
      <c r="Q16" s="15">
        <v>14</v>
      </c>
      <c r="R16">
        <f t="shared" si="5"/>
        <v>1</v>
      </c>
    </row>
    <row r="17" spans="1:18">
      <c r="A17" s="5" t="s">
        <v>85</v>
      </c>
      <c r="B17" s="6" t="s">
        <v>27</v>
      </c>
      <c r="C17" s="6" t="s">
        <v>42</v>
      </c>
      <c r="D17" s="7">
        <v>45218.319780092599</v>
      </c>
      <c r="E17" s="6" t="s">
        <v>29</v>
      </c>
      <c r="F17" s="6" t="s">
        <v>30</v>
      </c>
      <c r="G17" s="6" t="s">
        <v>86</v>
      </c>
      <c r="H17" s="8" t="s">
        <v>32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0.31978009259259299</v>
      </c>
      <c r="O17" t="str">
        <f t="shared" si="4"/>
        <v>07:40</v>
      </c>
      <c r="Q17" s="15">
        <v>15</v>
      </c>
      <c r="R17">
        <f t="shared" si="5"/>
        <v>1</v>
      </c>
    </row>
    <row r="18" spans="1:18">
      <c r="A18" s="5" t="s">
        <v>87</v>
      </c>
      <c r="B18" s="6" t="s">
        <v>41</v>
      </c>
      <c r="C18" s="6" t="s">
        <v>35</v>
      </c>
      <c r="D18" s="7">
        <v>45350.719236111101</v>
      </c>
      <c r="E18" s="6" t="s">
        <v>43</v>
      </c>
      <c r="F18" s="6" t="s">
        <v>44</v>
      </c>
      <c r="G18" s="6" t="s">
        <v>45</v>
      </c>
      <c r="H18" s="8" t="s">
        <v>46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0.71923611111111097</v>
      </c>
      <c r="O18" t="str">
        <f t="shared" si="4"/>
        <v>17:15</v>
      </c>
      <c r="Q18" s="15">
        <v>16</v>
      </c>
      <c r="R18">
        <f t="shared" si="5"/>
        <v>1</v>
      </c>
    </row>
    <row r="19" spans="1:18">
      <c r="A19" s="5" t="s">
        <v>88</v>
      </c>
      <c r="B19" s="6" t="s">
        <v>89</v>
      </c>
      <c r="C19" s="6" t="s">
        <v>42</v>
      </c>
      <c r="D19" s="7">
        <v>45418.726354166698</v>
      </c>
      <c r="E19" s="6" t="s">
        <v>90</v>
      </c>
      <c r="F19" s="6" t="s">
        <v>83</v>
      </c>
      <c r="G19" s="6" t="s">
        <v>91</v>
      </c>
      <c r="H19" s="8" t="s">
        <v>92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0.72635416666666697</v>
      </c>
      <c r="O19" t="str">
        <f t="shared" si="4"/>
        <v>17:25</v>
      </c>
      <c r="Q19" s="15">
        <v>17</v>
      </c>
      <c r="R19">
        <f t="shared" si="5"/>
        <v>7</v>
      </c>
    </row>
    <row r="20" spans="1:18">
      <c r="A20" s="5" t="s">
        <v>93</v>
      </c>
      <c r="B20" s="6" t="s">
        <v>41</v>
      </c>
      <c r="C20" s="6" t="s">
        <v>49</v>
      </c>
      <c r="D20" s="7">
        <v>45496.291701388902</v>
      </c>
      <c r="E20" s="6" t="s">
        <v>43</v>
      </c>
      <c r="F20" s="6" t="s">
        <v>44</v>
      </c>
      <c r="G20" s="6" t="s">
        <v>45</v>
      </c>
      <c r="H20" s="8" t="s">
        <v>46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0.29170138888888902</v>
      </c>
      <c r="O20" t="str">
        <f t="shared" si="4"/>
        <v>07:00</v>
      </c>
      <c r="Q20" s="15">
        <v>18</v>
      </c>
      <c r="R20">
        <f t="shared" si="5"/>
        <v>0</v>
      </c>
    </row>
    <row r="21" spans="1:18">
      <c r="A21" s="5" t="s">
        <v>94</v>
      </c>
      <c r="B21" s="9" t="s">
        <v>41</v>
      </c>
      <c r="C21" s="9" t="s">
        <v>49</v>
      </c>
      <c r="D21" s="10">
        <v>45422.739884259303</v>
      </c>
      <c r="E21" s="9" t="s">
        <v>43</v>
      </c>
      <c r="F21" s="9" t="s">
        <v>44</v>
      </c>
      <c r="G21" s="9" t="s">
        <v>91</v>
      </c>
      <c r="H21" s="11" t="s">
        <v>46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0.73988425925925905</v>
      </c>
      <c r="O21" t="str">
        <f t="shared" si="4"/>
        <v>17:45</v>
      </c>
      <c r="Q21" s="15">
        <v>19</v>
      </c>
      <c r="R21">
        <f t="shared" si="5"/>
        <v>0</v>
      </c>
    </row>
    <row r="22" spans="1:18">
      <c r="Q22" s="15">
        <v>20</v>
      </c>
      <c r="R22">
        <f t="shared" si="5"/>
        <v>0</v>
      </c>
    </row>
    <row r="23" spans="1:18">
      <c r="Q23" s="15">
        <v>21</v>
      </c>
      <c r="R23">
        <f t="shared" si="5"/>
        <v>0</v>
      </c>
    </row>
    <row r="24" spans="1:18">
      <c r="Q24" s="15">
        <v>22</v>
      </c>
      <c r="R24">
        <f t="shared" si="5"/>
        <v>0</v>
      </c>
    </row>
    <row r="25" spans="1:18">
      <c r="Q25" s="15">
        <v>23</v>
      </c>
      <c r="R25">
        <f t="shared" si="5"/>
        <v>0</v>
      </c>
    </row>
    <row r="26" spans="1:18">
      <c r="Q26" s="15">
        <v>24</v>
      </c>
      <c r="R26">
        <f t="shared" si="5"/>
        <v>0</v>
      </c>
    </row>
  </sheetData>
  <autoFilter ref="A1:H21" xr:uid="{00000000-0009-0000-0000-000002000000}"/>
  <pageMargins left="0.7" right="0.7" top="0.75" bottom="0.75" header="0.3" footer="0.3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Intergalactic Bypass</cp:lastModifiedBy>
  <dcterms:created xsi:type="dcterms:W3CDTF">2015-06-05T18:17:00Z</dcterms:created>
  <dcterms:modified xsi:type="dcterms:W3CDTF">2025-11-07T05:17:26Z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B67F563FD01A43B397B5E9805006248B_12</vt:lpwstr>
  </property>
  <property fmtid="{D5CDD505-2E9C-101B-9397-08002B2CF9AE}" pid="3" name="KSOProductBuildVer">
    <vt:lpwstr>1033-12.2.0.23155</vt:lpwstr>
  </property>
</Properties>
</file>