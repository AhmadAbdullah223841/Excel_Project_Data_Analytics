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dullah\Downloads\#$%@ ALL PRACTICE EXCEL FROM LUKE VIDEO(AS AN DATA NERD)\Practice add-ins of Data\"/>
    </mc:Choice>
  </mc:AlternateContent>
  <xr:revisionPtr revIDLastSave="0" documentId="13_ncr:1_{E2D5BDE9-0A19-462F-9F36-8087C38A35CA}" xr6:coauthVersionLast="47" xr6:coauthVersionMax="47" xr10:uidLastSave="{00000000-0000-0000-0000-000000000000}"/>
  <bookViews>
    <workbookView xWindow="-120" yWindow="-120" windowWidth="20730" windowHeight="11160" firstSheet="5" activeTab="8" xr2:uid="{6C37AC85-509F-4D10-9DB1-F70D16D6FBAB}"/>
  </bookViews>
  <sheets>
    <sheet name="Forecast_Original" sheetId="7" r:id="rId1"/>
    <sheet name="Forcasting_chart" sheetId="16" r:id="rId2"/>
    <sheet name="Forecast_Final" sheetId="8" state="hidden" r:id="rId3"/>
    <sheet name="Scenario Summary" sheetId="17" r:id="rId4"/>
    <sheet name="Answer Report 1" sheetId="21" r:id="rId5"/>
    <sheet name="Sensitivity Report 1" sheetId="22" r:id="rId6"/>
    <sheet name="Limits Report 1" sheetId="23" r:id="rId7"/>
    <sheet name="Answer Report 2" sheetId="24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C11" i="3"/>
  <c r="C12" i="3"/>
  <c r="C13" i="3"/>
  <c r="C9" i="3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367" i="16"/>
  <c r="C368" i="16"/>
  <c r="C372" i="16"/>
  <c r="C376" i="16"/>
  <c r="C380" i="16"/>
  <c r="C384" i="16"/>
  <c r="C388" i="16"/>
  <c r="C392" i="16"/>
  <c r="C396" i="16"/>
  <c r="C400" i="16"/>
  <c r="C404" i="16"/>
  <c r="C408" i="16"/>
  <c r="C412" i="16"/>
  <c r="C416" i="16"/>
  <c r="C420" i="16"/>
  <c r="C424" i="16"/>
  <c r="C379" i="16"/>
  <c r="C403" i="16"/>
  <c r="C415" i="16"/>
  <c r="C427" i="16"/>
  <c r="C369" i="16"/>
  <c r="C373" i="16"/>
  <c r="C377" i="16"/>
  <c r="C381" i="16"/>
  <c r="C385" i="16"/>
  <c r="C389" i="16"/>
  <c r="C393" i="16"/>
  <c r="C397" i="16"/>
  <c r="C401" i="16"/>
  <c r="C405" i="16"/>
  <c r="C409" i="16"/>
  <c r="C413" i="16"/>
  <c r="C417" i="16"/>
  <c r="C421" i="16"/>
  <c r="C425" i="16"/>
  <c r="C371" i="16"/>
  <c r="C383" i="16"/>
  <c r="C391" i="16"/>
  <c r="C399" i="16"/>
  <c r="C411" i="16"/>
  <c r="C423" i="16"/>
  <c r="C370" i="16"/>
  <c r="C374" i="16"/>
  <c r="C378" i="16"/>
  <c r="C382" i="16"/>
  <c r="C386" i="16"/>
  <c r="C390" i="16"/>
  <c r="C394" i="16"/>
  <c r="C398" i="16"/>
  <c r="C402" i="16"/>
  <c r="C406" i="16"/>
  <c r="C410" i="16"/>
  <c r="C414" i="16"/>
  <c r="C418" i="16"/>
  <c r="C422" i="16"/>
  <c r="C426" i="16"/>
  <c r="C375" i="16"/>
  <c r="C387" i="16"/>
  <c r="C395" i="16"/>
  <c r="C407" i="16"/>
  <c r="C419" i="16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E422" i="16"/>
  <c r="E409" i="16"/>
  <c r="D369" i="16"/>
  <c r="D420" i="16"/>
  <c r="D404" i="16"/>
  <c r="D380" i="16"/>
  <c r="D367" i="16"/>
  <c r="E369" i="16"/>
  <c r="E396" i="16"/>
  <c r="E372" i="16"/>
  <c r="E419" i="16"/>
  <c r="E395" i="16"/>
  <c r="E375" i="16"/>
  <c r="D422" i="16"/>
  <c r="D414" i="16"/>
  <c r="D406" i="16"/>
  <c r="D398" i="16"/>
  <c r="D390" i="16"/>
  <c r="D382" i="16"/>
  <c r="D374" i="16"/>
  <c r="E423" i="16"/>
  <c r="E399" i="16"/>
  <c r="E383" i="16"/>
  <c r="E425" i="16"/>
  <c r="D417" i="16"/>
  <c r="D401" i="16"/>
  <c r="E393" i="16"/>
  <c r="D377" i="16"/>
  <c r="E379" i="16"/>
  <c r="E412" i="16"/>
  <c r="E388" i="16"/>
  <c r="E367" i="16"/>
  <c r="D407" i="16"/>
  <c r="D387" i="16"/>
  <c r="E426" i="16"/>
  <c r="E418" i="16"/>
  <c r="E410" i="16"/>
  <c r="E402" i="16"/>
  <c r="E394" i="16"/>
  <c r="E386" i="16"/>
  <c r="E378" i="16"/>
  <c r="E370" i="16"/>
  <c r="D411" i="16"/>
  <c r="D391" i="16"/>
  <c r="D371" i="16"/>
  <c r="E421" i="16"/>
  <c r="D413" i="16"/>
  <c r="D405" i="16"/>
  <c r="E397" i="16"/>
  <c r="E389" i="16"/>
  <c r="D381" i="16"/>
  <c r="E373" i="16"/>
  <c r="D427" i="16"/>
  <c r="D403" i="16"/>
  <c r="D424" i="16"/>
  <c r="D416" i="16"/>
  <c r="D408" i="16"/>
  <c r="D400" i="16"/>
  <c r="D392" i="16"/>
  <c r="D384" i="16"/>
  <c r="D376" i="16"/>
  <c r="D368" i="16"/>
  <c r="E407" i="16"/>
  <c r="E387" i="16"/>
  <c r="D426" i="16"/>
  <c r="D418" i="16"/>
  <c r="D410" i="16"/>
  <c r="D402" i="16"/>
  <c r="D394" i="16"/>
  <c r="D386" i="16"/>
  <c r="D378" i="16"/>
  <c r="D370" i="16"/>
  <c r="E411" i="16"/>
  <c r="E391" i="16"/>
  <c r="E371" i="16"/>
  <c r="D421" i="16"/>
  <c r="E413" i="16"/>
  <c r="E405" i="16"/>
  <c r="D397" i="16"/>
  <c r="D389" i="16"/>
  <c r="E381" i="16"/>
  <c r="D373" i="16"/>
  <c r="E427" i="16"/>
  <c r="E403" i="16"/>
  <c r="E424" i="16"/>
  <c r="E416" i="16"/>
  <c r="E408" i="16"/>
  <c r="E400" i="16"/>
  <c r="E392" i="16"/>
  <c r="E384" i="16"/>
  <c r="E376" i="16"/>
  <c r="E368" i="16"/>
  <c r="D419" i="16"/>
  <c r="D395" i="16"/>
  <c r="D375" i="16"/>
  <c r="E414" i="16"/>
  <c r="E406" i="16"/>
  <c r="E398" i="16"/>
  <c r="E390" i="16"/>
  <c r="E382" i="16"/>
  <c r="E374" i="16"/>
  <c r="D423" i="16"/>
  <c r="D399" i="16"/>
  <c r="D383" i="16"/>
  <c r="D425" i="16"/>
  <c r="E417" i="16"/>
  <c r="E401" i="16"/>
  <c r="D393" i="16"/>
  <c r="E385" i="16"/>
  <c r="E377" i="16"/>
  <c r="D415" i="16"/>
  <c r="D379" i="16"/>
  <c r="D412" i="16"/>
  <c r="D396" i="16"/>
  <c r="D388" i="16"/>
  <c r="D372" i="16"/>
  <c r="D409" i="16"/>
  <c r="D385" i="16"/>
  <c r="E415" i="16"/>
  <c r="E420" i="16"/>
  <c r="E404" i="16"/>
  <c r="E380" i="16"/>
</calcChain>
</file>

<file path=xl/sharedStrings.xml><?xml version="1.0" encoding="utf-8"?>
<sst xmlns="http://schemas.openxmlformats.org/spreadsheetml/2006/main" count="284" uniqueCount="92">
  <si>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</si>
  <si>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</si>
  <si>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</si>
  <si>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</si>
  <si>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</si>
  <si>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</si>
  <si>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</si>
  <si>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</si>
  <si>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</si>
  <si>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</si>
  <si>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</si>
  <si>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</si>
  <si>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</si>
  <si>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</si>
  <si>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</si>
  <si>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</si>
  <si>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</si>
  <si>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</si>
  <si>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</si>
  <si>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</si>
  <si>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</si>
  <si>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</si>
  <si>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</si>
  <si>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</si>
  <si>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</si>
  <si>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</si>
  <si>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</si>
  <si>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</si>
  <si>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</si>
  <si>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</si>
  <si>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</si>
  <si>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</si>
  <si>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</si>
  <si>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</si>
  <si>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</si>
  <si>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</si>
  <si>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</si>
  <si>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</si>
  <si>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</si>
  <si>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</si>
  <si>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</si>
  <si>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</si>
  <si>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</si>
  <si>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</si>
  <si>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</si>
  <si>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</si>
  <si>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</si>
  <si>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</si>
  <si>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</si>
  <si>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</si>
  <si>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</si>
  <si>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</si>
  <si>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</si>
  <si>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</si>
  <si>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</si>
  <si>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</si>
  <si>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</si>
  <si>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</si>
  <si>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</si>
  <si>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</si>
  <si>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</si>
  <si>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</si>
  <si>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</si>
  <si>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</si>
  <si>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</si>
  <si>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</si>
  <si>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</si>
  <si>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</si>
  <si>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</si>
  <si>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</si>
  <si>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</si>
  <si>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</si>
  <si>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</si>
  <si>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</si>
  <si>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</si>
  <si>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</si>
  <si>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</si>
  <si>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</si>
  <si>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Abdullah on 11/14/2025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</si>
  <si>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</si>
  <si>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</si>
  <si>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</si>
  <si>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</si>
  <si>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</si>
  <si>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</si>
  <si>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</si>
  <si>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11/15/2025 12:36:12 PM</t>
  </si>
  <si>
    <t>Solution Time: 0.031 Seconds.</t>
  </si>
  <si>
    <t>Report Created: 11/15/2025 12:40:37 PM</t>
  </si>
  <si>
    <t>Solution Time: 0.015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</si>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</sst>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74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1" xfId="2" applyNumberFormat="1" applyBorder="1"/>
    <xf numFmtId="9" fontId="4" fillId="2" borderId="21" xfId="2" applyNumberFormat="1" applyBorder="1"/>
    <xf numFmtId="165" fontId="4" fillId="2" borderId="22" xfId="2" applyNumberFormat="1" applyBorder="1"/>
    <xf numFmtId="0" fontId="0" fillId="0" borderId="26" xfId="0" applyBorder="1"/>
    <xf numFmtId="0" fontId="7" fillId="0" borderId="25" xfId="0" applyFont="1" applyBorder="1" applyAlignment="1">
      <alignment horizontal="center"/>
    </xf>
    <xf numFmtId="0" fontId="0" fillId="0" borderId="27" xfId="0" applyBorder="1"/>
    <xf numFmtId="164" fontId="0" fillId="0" borderId="26" xfId="0" applyNumberFormat="1" applyBorder="1"/>
    <xf numFmtId="9" fontId="0" fillId="0" borderId="27" xfId="0" applyNumberFormat="1" applyBorder="1"/>
    <xf numFmtId="165" fontId="0" fillId="0" borderId="26" xfId="0" applyNumberFormat="1" applyBorder="1"/>
    <xf numFmtId="164" fontId="0" fillId="0" borderId="27" xfId="0" applyNumberFormat="1" applyBorder="1"/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8" xfId="0" applyBorder="1" applyAlignment="1">
      <alignment vertical="center" wrapText="1"/>
    </xf>
    <xf numFmtId="3" fontId="0" fillId="0" borderId="29" xfId="0" applyNumberFormat="1" applyBorder="1" applyAlignment="1">
      <alignment vertical="center" wrapText="1"/>
    </xf>
    <xf numFmtId="9" fontId="0" fillId="0" borderId="29" xfId="0" applyNumberFormat="1" applyBorder="1" applyAlignment="1">
      <alignment vertical="center" wrapText="1"/>
    </xf>
    <xf numFmtId="165" fontId="0" fillId="0" borderId="30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1" xfId="0" applyFont="1" applyBorder="1"/>
    <xf numFmtId="9" fontId="10" fillId="0" borderId="31" xfId="0" applyNumberFormat="1" applyFont="1" applyBorder="1"/>
    <xf numFmtId="165" fontId="10" fillId="0" borderId="13" xfId="0" applyNumberFormat="1" applyFont="1" applyBorder="1"/>
    <xf numFmtId="7" fontId="0" fillId="0" borderId="26" xfId="0" applyNumberFormat="1" applyBorder="1"/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0" xfId="0" applyBorder="1" applyAlignment="1">
      <alignment vertical="center" wrapText="1"/>
    </xf>
    <xf numFmtId="3" fontId="0" fillId="0" borderId="32" xfId="0" applyNumberFormat="1" applyBorder="1" applyAlignment="1">
      <alignment vertical="center" wrapText="1"/>
    </xf>
    <xf numFmtId="9" fontId="0" fillId="0" borderId="32" xfId="0" applyNumberFormat="1" applyBorder="1" applyAlignment="1">
      <alignment vertical="center" wrapText="1"/>
    </xf>
    <xf numFmtId="165" fontId="0" fillId="0" borderId="11" xfId="0" applyNumberForma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Forcasting_chart!$B$1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Forcasting_chart!$B$2:$B$427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3-4277-A489-3C25A1B0CBED}"/>
            </c:ext>
          </c:extLst>
        </c:ser>
        <c:ser>
          <c:idx val="1"/>
          <c:order val="1"/>
          <c:tx>
            <c:strRef>
              <c:f>Forcasting_chart!$C$1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Forcasting_chart!$A$2:$A$427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Forcasting_chart!$C$2:$C$427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3-4277-A489-3C25A1B0CBED}"/>
            </c:ext>
          </c:extLst>
        </c:ser>
        <c:ser>
          <c:idx val="2"/>
          <c:order val="2"/>
          <c:tx>
            <c:strRef>
              <c:f>Forcasting_chart!$D$1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Forcasting_chart!$A$2:$A$427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Forcasting_chart!$D$2:$D$427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3-4277-A489-3C25A1B0CBED}"/>
            </c:ext>
          </c:extLst>
        </c:ser>
        <c:ser>
          <c:idx val="3"/>
          <c:order val="3"/>
          <c:tx>
            <c:strRef>
              <c:f>Forcasting_chart!$E$1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Forcasting_chart!$A$2:$A$427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Forcasting_chart!$E$2:$E$427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3-4277-A489-3C25A1B0C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950143"/>
        <c:axId val="1679937183"/>
      </c:lineChart>
      <c:catAx>
        <c:axId val="16799501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37183"/>
        <c:crosses val="autoZero"/>
        <c:auto val="1"/>
        <c:lblAlgn val="ctr"/>
        <c:lblOffset val="100"/>
        <c:noMultiLvlLbl val="0"/>
      </c:catAx>
      <c:valAx>
        <c:axId val="16799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5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</xdr:row>
      <xdr:rowOff>14286</xdr:rowOff>
    </xdr:from>
    <xdr:to>
      <xdr:col>11</xdr:col>
      <xdr:colOff>419100</xdr:colOff>
      <xdr:row>16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04C0-5208-BE28-E64A-B269F6C77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C1419-8485-41F6-BBC3-F0BAC1860793}" name="Table2" displayName="Table2" ref="A1:E427" totalsRowShown="0">
  <autoFilter ref="A1:E427" xr:uid="{0C3C1419-8485-41F6-BBC3-F0BAC1860793}"/>
  <tableColumns count="5">
    <tableColumn id="1" xr3:uid="{E049758D-1DD8-448B-9054-258030D764F7}" name="Date" dataDxfId="5"/>
    <tableColumn id="2" xr3:uid="{042BB010-DA3B-43B3-9908-5A3014521373}" name="Job Count"/>
    <tableColumn id="3" xr3:uid="{0EA68BED-09A9-4BB3-AE7B-8DE578154067}" name="Forecast(Job Count)">
      <calculatedColumnFormula>_xlfn.FORECAST.ETS(A2,$B$2:$B$366,$A$2:$A$366,1,1)</calculatedColumnFormula>
    </tableColumn>
    <tableColumn id="4" xr3:uid="{1F84E430-FE5B-4C37-B473-D090C730E152}" name="Lower Confidence Bound(Job Count)" dataDxfId="4">
      <calculatedColumnFormula>C2-_xlfn.FORECAST.ETS.CONFINT(A2,$B$2:$B$366,$A$2:$A$366,0.95,1,1)</calculatedColumnFormula>
    </tableColumn>
    <tableColumn id="5" xr3:uid="{819F74D8-484F-4D93-B664-4650E984A2C2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zoomScale="70" zoomScaleNormal="70" workbookViewId="0">
      <selection activeCell="P19" sqref="P19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1ED2-998B-4D2F-A2F8-D019EE01DB9E}">
  <dimension ref="A1:E427"/>
  <sheetViews>
    <sheetView workbookViewId="0">
      <selection activeCell="P17" sqref="P17"/>
    </sheetView>
  </sheetViews>
  <sheetFormatPr defaultRowHeight="15" x14ac:dyDescent="0.25"/>
  <cols>
    <col min="2" max="2" width="12.140625" customWidth="1"/>
    <col min="3" max="3" width="10.140625" customWidth="1"/>
    <col min="4" max="4" width="13.7109375" customWidth="1"/>
    <col min="5" max="5" width="9.8554687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27" si="3">_xlfn.FORECAST.ETS(A399,$B$2:$B$366,$A$2:$A$366,1,1)</f>
        <v>66.716957191670204</v>
      </c>
      <c r="D399" s="17">
        <f t="shared" ref="D399:D427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1057-A27B-4D7F-A288-3EF0DC6AD690}">
  <sheetPr>
    <outlinePr summaryBelow="0"/>
  </sheetPr>
  <dimension ref="B1:N15"/>
  <sheetViews>
    <sheetView showGridLines="0" zoomScale="85" zoomScaleNormal="85" workbookViewId="0">
      <selection activeCell="K19" sqref="K19"/>
    </sheetView>
  </sheetViews>
  <sheetFormatPr defaultRowHeight="15" outlineLevelRow="1" outlineLevelCol="1" x14ac:dyDescent="0.25"/>
  <cols>
    <col min="3" max="3" width="10.85546875" bestFit="1" customWidth="1"/>
    <col min="4" max="7" width="12.42578125" customWidth="1" outlineLevel="1"/>
  </cols>
  <sheetData>
    <row r="1" spans="2:14" ht="15.75" thickBot="1" x14ac:dyDescent="0.3"/>
    <row r="2" spans="2:14" ht="15.75" x14ac:dyDescent="0.25">
      <c r="B2" s="22" t="s">
        <v>22</v>
      </c>
      <c r="C2" s="22"/>
      <c r="D2" s="27"/>
      <c r="E2" s="27"/>
      <c r="F2" s="27"/>
      <c r="G2" s="27"/>
    </row>
    <row r="3" spans="2:14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14" ht="33.75" hidden="1" outlineLevel="1" x14ac:dyDescent="0.25">
      <c r="B4" s="24"/>
      <c r="C4" s="24"/>
      <c r="E4" s="32" t="s">
        <v>78</v>
      </c>
      <c r="F4" s="32" t="s">
        <v>78</v>
      </c>
      <c r="G4" s="32" t="s">
        <v>78</v>
      </c>
    </row>
    <row r="5" spans="2:14" x14ac:dyDescent="0.25">
      <c r="B5" s="25" t="s">
        <v>23</v>
      </c>
      <c r="C5" s="25"/>
      <c r="D5" s="23"/>
      <c r="E5" s="23"/>
      <c r="F5" s="23"/>
      <c r="G5" s="23"/>
    </row>
    <row r="6" spans="2:14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14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14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14" x14ac:dyDescent="0.25">
      <c r="B9" s="25" t="s">
        <v>25</v>
      </c>
      <c r="C9" s="25"/>
      <c r="D9" s="23"/>
      <c r="E9" s="23"/>
      <c r="F9" s="23"/>
      <c r="G9" s="23"/>
    </row>
    <row r="10" spans="2:14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110000</v>
      </c>
      <c r="G10" s="18">
        <v>110000</v>
      </c>
    </row>
    <row r="11" spans="2:14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111650</v>
      </c>
      <c r="G11" s="18">
        <v>111650</v>
      </c>
      <c r="J11" s="63"/>
      <c r="K11" s="64"/>
      <c r="L11" s="64"/>
      <c r="M11" s="64"/>
      <c r="N11" s="64"/>
    </row>
    <row r="12" spans="2:14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113324.75</v>
      </c>
      <c r="G12" s="18">
        <v>113324.75</v>
      </c>
      <c r="J12" s="64"/>
      <c r="K12" s="64"/>
      <c r="L12" s="64"/>
      <c r="M12" s="64"/>
      <c r="N12" s="64"/>
    </row>
    <row r="13" spans="2:14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115024.62125</v>
      </c>
      <c r="G13" s="18">
        <v>115024.62125</v>
      </c>
    </row>
    <row r="14" spans="2:14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116749.99056875</v>
      </c>
      <c r="G14" s="18">
        <v>116749.99056875</v>
      </c>
    </row>
    <row r="15" spans="2:14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566749.36181875004</v>
      </c>
      <c r="G15" s="33">
        <v>566749.36181875004</v>
      </c>
    </row>
  </sheetData>
  <mergeCells count="1">
    <mergeCell ref="J11:N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A1A7-899F-4EF5-9D74-3884837F3532}">
  <dimension ref="A1:G27"/>
  <sheetViews>
    <sheetView showGridLines="0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7.7109375" bestFit="1" customWidth="1"/>
    <col min="7" max="7" width="5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86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87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6" t="s">
        <v>50</v>
      </c>
      <c r="C15" s="46" t="s">
        <v>51</v>
      </c>
      <c r="D15" s="46" t="s">
        <v>52</v>
      </c>
      <c r="E15" s="46" t="s">
        <v>53</v>
      </c>
    </row>
    <row r="16" spans="1:5" ht="15.75" thickBot="1" x14ac:dyDescent="0.3">
      <c r="B16" s="45" t="s">
        <v>29</v>
      </c>
      <c r="C16" s="45" t="s">
        <v>35</v>
      </c>
      <c r="D16" s="48">
        <v>639653.74269999994</v>
      </c>
      <c r="E16" s="48">
        <v>640000.48730000004</v>
      </c>
    </row>
    <row r="19" spans="1:7" ht="15.75" thickBot="1" x14ac:dyDescent="0.3">
      <c r="A19" t="s">
        <v>54</v>
      </c>
    </row>
    <row r="20" spans="1:7" ht="15.75" thickBot="1" x14ac:dyDescent="0.3">
      <c r="B20" s="46" t="s">
        <v>50</v>
      </c>
      <c r="C20" s="46" t="s">
        <v>51</v>
      </c>
      <c r="D20" s="46" t="s">
        <v>52</v>
      </c>
      <c r="E20" s="46" t="s">
        <v>53</v>
      </c>
      <c r="F20" s="46" t="s">
        <v>55</v>
      </c>
    </row>
    <row r="21" spans="1:7" x14ac:dyDescent="0.25">
      <c r="B21" s="47" t="s">
        <v>60</v>
      </c>
      <c r="C21" s="47" t="s">
        <v>15</v>
      </c>
      <c r="D21" s="49">
        <v>0.226693026881682</v>
      </c>
      <c r="E21" s="49">
        <v>0.227325331362045</v>
      </c>
      <c r="F21" s="47" t="s">
        <v>61</v>
      </c>
    </row>
    <row r="22" spans="1:7" ht="15.75" thickBot="1" x14ac:dyDescent="0.3">
      <c r="B22" s="45" t="s">
        <v>62</v>
      </c>
      <c r="C22" s="45" t="s">
        <v>16</v>
      </c>
      <c r="D22" s="50">
        <v>2.1000000000000001E-2</v>
      </c>
      <c r="E22" s="50">
        <v>2.1013309454084986E-2</v>
      </c>
      <c r="F22" s="45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6" t="s">
        <v>50</v>
      </c>
      <c r="C26" s="46" t="s">
        <v>51</v>
      </c>
      <c r="D26" s="46" t="s">
        <v>57</v>
      </c>
      <c r="E26" s="46" t="s">
        <v>58</v>
      </c>
      <c r="F26" s="46" t="s">
        <v>59</v>
      </c>
      <c r="G26" s="46" t="s">
        <v>8</v>
      </c>
    </row>
    <row r="27" spans="1:7" ht="15.75" thickBot="1" x14ac:dyDescent="0.3">
      <c r="B27" s="45" t="s">
        <v>29</v>
      </c>
      <c r="C27" s="45" t="s">
        <v>35</v>
      </c>
      <c r="D27" s="48">
        <v>640000.49</v>
      </c>
      <c r="E27" s="45" t="s">
        <v>63</v>
      </c>
      <c r="F27" s="45" t="s">
        <v>64</v>
      </c>
      <c r="G27" s="4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F64B-1716-42E6-9787-CF3068EDAA78}">
  <dimension ref="A1:E15"/>
  <sheetViews>
    <sheetView showGridLines="0" workbookViewId="0"/>
  </sheetViews>
  <sheetFormatPr defaultRowHeight="15" x14ac:dyDescent="0.25"/>
  <cols>
    <col min="1" max="1" width="2.28515625" customWidth="1"/>
    <col min="2" max="2" width="6.140625" bestFit="1" customWidth="1"/>
    <col min="3" max="3" width="10.85546875" bestFit="1" customWidth="1"/>
    <col min="4" max="4" width="12" bestFit="1" customWidth="1"/>
    <col min="5" max="5" width="9.7109375" bestFit="1" customWidth="1"/>
  </cols>
  <sheetData>
    <row r="1" spans="1:5" x14ac:dyDescent="0.25">
      <c r="A1" s="7" t="s">
        <v>80</v>
      </c>
    </row>
    <row r="2" spans="1:5" x14ac:dyDescent="0.25">
      <c r="A2" s="7" t="s">
        <v>38</v>
      </c>
    </row>
    <row r="3" spans="1:5" x14ac:dyDescent="0.25">
      <c r="A3" s="7" t="s">
        <v>86</v>
      </c>
    </row>
    <row r="6" spans="1:5" ht="15.75" thickBot="1" x14ac:dyDescent="0.3">
      <c r="A6" t="s">
        <v>54</v>
      </c>
    </row>
    <row r="7" spans="1:5" x14ac:dyDescent="0.25">
      <c r="B7" s="52"/>
      <c r="C7" s="52"/>
      <c r="D7" s="52" t="s">
        <v>81</v>
      </c>
      <c r="E7" s="52" t="s">
        <v>82</v>
      </c>
    </row>
    <row r="8" spans="1:5" ht="15.75" thickBot="1" x14ac:dyDescent="0.3">
      <c r="B8" s="53" t="s">
        <v>50</v>
      </c>
      <c r="C8" s="53" t="s">
        <v>51</v>
      </c>
      <c r="D8" s="53" t="s">
        <v>69</v>
      </c>
      <c r="E8" s="53" t="s">
        <v>83</v>
      </c>
    </row>
    <row r="9" spans="1:5" x14ac:dyDescent="0.25">
      <c r="B9" s="47" t="s">
        <v>60</v>
      </c>
      <c r="C9" s="47" t="s">
        <v>15</v>
      </c>
      <c r="D9" s="47">
        <v>0.227325331362045</v>
      </c>
      <c r="E9" s="47">
        <v>0</v>
      </c>
    </row>
    <row r="10" spans="1:5" ht="15.75" thickBot="1" x14ac:dyDescent="0.3">
      <c r="B10" s="45" t="s">
        <v>62</v>
      </c>
      <c r="C10" s="45" t="s">
        <v>16</v>
      </c>
      <c r="D10" s="45">
        <v>2.1013309454084986E-2</v>
      </c>
      <c r="E10" s="45">
        <v>0</v>
      </c>
    </row>
    <row r="12" spans="1:5" ht="15.75" thickBot="1" x14ac:dyDescent="0.3">
      <c r="A12" t="s">
        <v>56</v>
      </c>
    </row>
    <row r="13" spans="1:5" x14ac:dyDescent="0.25">
      <c r="B13" s="52"/>
      <c r="C13" s="52"/>
      <c r="D13" s="52" t="s">
        <v>81</v>
      </c>
      <c r="E13" s="52" t="s">
        <v>84</v>
      </c>
    </row>
    <row r="14" spans="1:5" ht="15.75" thickBot="1" x14ac:dyDescent="0.3">
      <c r="B14" s="53" t="s">
        <v>50</v>
      </c>
      <c r="C14" s="53" t="s">
        <v>51</v>
      </c>
      <c r="D14" s="53" t="s">
        <v>69</v>
      </c>
      <c r="E14" s="53" t="s">
        <v>85</v>
      </c>
    </row>
    <row r="15" spans="1:5" ht="15.75" thickBot="1" x14ac:dyDescent="0.3">
      <c r="B15" s="45" t="s">
        <v>29</v>
      </c>
      <c r="C15" s="45" t="s">
        <v>35</v>
      </c>
      <c r="D15" s="62">
        <v>640000.49</v>
      </c>
      <c r="E15" s="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4C5E-D597-401D-8699-EDAF1FAFF109}">
  <dimension ref="A1:J14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4.7109375" bestFit="1" customWidth="1"/>
    <col min="3" max="3" width="8.28515625" bestFit="1" customWidth="1"/>
    <col min="4" max="4" width="10" bestFit="1" customWidth="1"/>
    <col min="5" max="5" width="2.28515625" customWidth="1"/>
    <col min="6" max="6" width="6.42578125" bestFit="1" customWidth="1"/>
    <col min="7" max="7" width="12.140625" bestFit="1" customWidth="1"/>
    <col min="8" max="8" width="2.28515625" customWidth="1"/>
    <col min="9" max="9" width="6.42578125" bestFit="1" customWidth="1"/>
    <col min="10" max="10" width="9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86</v>
      </c>
    </row>
    <row r="5" spans="1:10" ht="15.75" thickBot="1" x14ac:dyDescent="0.3"/>
    <row r="6" spans="1:10" x14ac:dyDescent="0.25">
      <c r="B6" s="52"/>
      <c r="C6" s="52" t="s">
        <v>71</v>
      </c>
      <c r="D6" s="52"/>
    </row>
    <row r="7" spans="1:10" ht="15.75" thickBot="1" x14ac:dyDescent="0.3">
      <c r="B7" s="53" t="s">
        <v>50</v>
      </c>
      <c r="C7" s="53" t="s">
        <v>51</v>
      </c>
      <c r="D7" s="53" t="s">
        <v>69</v>
      </c>
    </row>
    <row r="8" spans="1:10" ht="15.75" thickBot="1" x14ac:dyDescent="0.3">
      <c r="B8" s="45" t="s">
        <v>29</v>
      </c>
      <c r="C8" s="45" t="s">
        <v>35</v>
      </c>
      <c r="D8" s="48">
        <v>640000.48730000004</v>
      </c>
    </row>
    <row r="10" spans="1:10" ht="15.75" thickBot="1" x14ac:dyDescent="0.3"/>
    <row r="11" spans="1:10" x14ac:dyDescent="0.25">
      <c r="B11" s="52"/>
      <c r="C11" s="52" t="s">
        <v>72</v>
      </c>
      <c r="D11" s="52"/>
      <c r="F11" s="52" t="s">
        <v>73</v>
      </c>
      <c r="G11" s="52" t="s">
        <v>71</v>
      </c>
      <c r="I11" s="52" t="s">
        <v>76</v>
      </c>
      <c r="J11" s="52" t="s">
        <v>71</v>
      </c>
    </row>
    <row r="12" spans="1:10" ht="15.75" thickBot="1" x14ac:dyDescent="0.3">
      <c r="B12" s="53" t="s">
        <v>50</v>
      </c>
      <c r="C12" s="53" t="s">
        <v>51</v>
      </c>
      <c r="D12" s="53" t="s">
        <v>69</v>
      </c>
      <c r="F12" s="53" t="s">
        <v>74</v>
      </c>
      <c r="G12" s="53" t="s">
        <v>75</v>
      </c>
      <c r="I12" s="53" t="s">
        <v>74</v>
      </c>
      <c r="J12" s="53" t="s">
        <v>75</v>
      </c>
    </row>
    <row r="13" spans="1:10" x14ac:dyDescent="0.25">
      <c r="B13" s="47" t="s">
        <v>60</v>
      </c>
      <c r="C13" s="47" t="s">
        <v>15</v>
      </c>
      <c r="D13" s="49">
        <v>0.227325331362045</v>
      </c>
      <c r="F13" s="49">
        <v>0</v>
      </c>
      <c r="G13" s="49">
        <v>521459.53</v>
      </c>
      <c r="I13" s="47" t="e">
        <v>#N/A</v>
      </c>
      <c r="J13" s="47" t="e">
        <v>#N/A</v>
      </c>
    </row>
    <row r="14" spans="1:10" ht="15.75" thickBot="1" x14ac:dyDescent="0.3">
      <c r="B14" s="45" t="s">
        <v>62</v>
      </c>
      <c r="C14" s="45" t="s">
        <v>16</v>
      </c>
      <c r="D14" s="50">
        <v>2.1013309454084986E-2</v>
      </c>
      <c r="F14" s="50">
        <v>0</v>
      </c>
      <c r="G14" s="50">
        <v>613662.67000000004</v>
      </c>
      <c r="I14" s="45"/>
      <c r="J14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0027-0BDE-41B6-81FE-3308241BA023}">
  <dimension ref="A1:G29"/>
  <sheetViews>
    <sheetView showGridLines="0" workbookViewId="0">
      <selection activeCell="J24" sqref="J24"/>
    </sheetView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11.28515625" bestFit="1" customWidth="1"/>
    <col min="7" max="7" width="12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88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89</v>
      </c>
    </row>
    <row r="8" spans="1:5" hidden="1" outlineLevel="1" x14ac:dyDescent="0.25">
      <c r="A8" s="7"/>
      <c r="B8" t="s">
        <v>79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6" t="s">
        <v>50</v>
      </c>
      <c r="C15" s="46" t="s">
        <v>51</v>
      </c>
      <c r="D15" s="46" t="s">
        <v>52</v>
      </c>
      <c r="E15" s="46" t="s">
        <v>53</v>
      </c>
    </row>
    <row r="16" spans="1:5" ht="15.75" thickBot="1" x14ac:dyDescent="0.3">
      <c r="B16" s="45" t="s">
        <v>29</v>
      </c>
      <c r="C16" s="45" t="s">
        <v>35</v>
      </c>
      <c r="D16" s="48">
        <v>622877.09439999994</v>
      </c>
      <c r="E16" s="48">
        <v>640000.14520000003</v>
      </c>
    </row>
    <row r="19" spans="1:7" ht="15.75" thickBot="1" x14ac:dyDescent="0.3">
      <c r="A19" t="s">
        <v>54</v>
      </c>
    </row>
    <row r="20" spans="1:7" ht="15.75" thickBot="1" x14ac:dyDescent="0.3">
      <c r="B20" s="46" t="s">
        <v>50</v>
      </c>
      <c r="C20" s="46" t="s">
        <v>51</v>
      </c>
      <c r="D20" s="46" t="s">
        <v>52</v>
      </c>
      <c r="E20" s="46" t="s">
        <v>53</v>
      </c>
      <c r="F20" s="46" t="s">
        <v>55</v>
      </c>
    </row>
    <row r="21" spans="1:7" x14ac:dyDescent="0.25">
      <c r="B21" s="47" t="s">
        <v>60</v>
      </c>
      <c r="C21" s="47" t="s">
        <v>15</v>
      </c>
      <c r="D21" s="49">
        <v>0.15</v>
      </c>
      <c r="E21" s="49">
        <v>0.17283479610661426</v>
      </c>
      <c r="F21" s="47" t="s">
        <v>61</v>
      </c>
    </row>
    <row r="22" spans="1:7" ht="15.75" thickBot="1" x14ac:dyDescent="0.3">
      <c r="B22" s="45" t="s">
        <v>62</v>
      </c>
      <c r="C22" s="45" t="s">
        <v>16</v>
      </c>
      <c r="D22" s="50">
        <v>0.04</v>
      </c>
      <c r="E22" s="50">
        <v>4.3731865887940702E-2</v>
      </c>
      <c r="F22" s="45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6" t="s">
        <v>50</v>
      </c>
      <c r="C26" s="46" t="s">
        <v>51</v>
      </c>
      <c r="D26" s="46" t="s">
        <v>57</v>
      </c>
      <c r="E26" s="46" t="s">
        <v>58</v>
      </c>
      <c r="F26" s="46" t="s">
        <v>59</v>
      </c>
      <c r="G26" s="46" t="s">
        <v>8</v>
      </c>
    </row>
    <row r="27" spans="1:7" x14ac:dyDescent="0.25">
      <c r="B27" s="47" t="s">
        <v>29</v>
      </c>
      <c r="C27" s="47" t="s">
        <v>35</v>
      </c>
      <c r="D27" s="51">
        <v>640000.15</v>
      </c>
      <c r="E27" s="47" t="s">
        <v>63</v>
      </c>
      <c r="F27" s="47" t="s">
        <v>64</v>
      </c>
      <c r="G27" s="47">
        <v>0</v>
      </c>
    </row>
    <row r="28" spans="1:7" x14ac:dyDescent="0.25">
      <c r="B28" s="47" t="s">
        <v>60</v>
      </c>
      <c r="C28" s="47" t="s">
        <v>15</v>
      </c>
      <c r="D28" s="49">
        <v>0.17283479610661426</v>
      </c>
      <c r="E28" s="47" t="s">
        <v>90</v>
      </c>
      <c r="F28" s="47" t="s">
        <v>66</v>
      </c>
      <c r="G28" s="47">
        <v>2.7165203893385753E-2</v>
      </c>
    </row>
    <row r="29" spans="1:7" ht="15.75" thickBot="1" x14ac:dyDescent="0.3">
      <c r="B29" s="45" t="s">
        <v>62</v>
      </c>
      <c r="C29" s="45" t="s">
        <v>16</v>
      </c>
      <c r="D29" s="50">
        <v>4.3731865887940702E-2</v>
      </c>
      <c r="E29" s="45" t="s">
        <v>91</v>
      </c>
      <c r="F29" s="45" t="s">
        <v>66</v>
      </c>
      <c r="G29" s="45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K13" sqref="K13"/>
    </sheetView>
  </sheetViews>
  <sheetFormatPr defaultRowHeight="15" x14ac:dyDescent="0.25"/>
  <cols>
    <col min="2" max="2" width="11.5703125" customWidth="1"/>
    <col min="3" max="3" width="29.42578125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ht="15.75" thickBot="1" x14ac:dyDescent="0.3">
      <c r="B2" s="65" t="s">
        <v>4</v>
      </c>
      <c r="C2" s="66"/>
      <c r="E2" s="71" t="s">
        <v>30</v>
      </c>
      <c r="F2" s="72" t="s">
        <v>0</v>
      </c>
      <c r="G2" s="72" t="s">
        <v>1</v>
      </c>
      <c r="H2" s="73" t="s">
        <v>2</v>
      </c>
    </row>
    <row r="3" spans="2:8" x14ac:dyDescent="0.25">
      <c r="B3" s="1" t="s">
        <v>0</v>
      </c>
      <c r="C3" s="42">
        <v>100000</v>
      </c>
      <c r="E3" s="67" t="s">
        <v>17</v>
      </c>
      <c r="F3" s="68">
        <v>100000</v>
      </c>
      <c r="G3" s="69">
        <v>0.1</v>
      </c>
      <c r="H3" s="70">
        <v>1.4999999999999999E-2</v>
      </c>
    </row>
    <row r="4" spans="2:8" x14ac:dyDescent="0.25">
      <c r="B4" s="1" t="s">
        <v>1</v>
      </c>
      <c r="C4" s="43">
        <v>0.17283479610661426</v>
      </c>
      <c r="E4" s="40" t="s">
        <v>19</v>
      </c>
      <c r="F4" s="38">
        <v>80000</v>
      </c>
      <c r="G4" s="39">
        <v>0.15</v>
      </c>
      <c r="H4" s="41">
        <v>1.2E-2</v>
      </c>
    </row>
    <row r="5" spans="2:8" ht="15.75" thickBot="1" x14ac:dyDescent="0.3">
      <c r="B5" s="3" t="s">
        <v>2</v>
      </c>
      <c r="C5" s="44">
        <v>4.3731865887940702E-2</v>
      </c>
      <c r="E5" s="54" t="s">
        <v>21</v>
      </c>
      <c r="F5" s="55">
        <v>120000</v>
      </c>
      <c r="G5" s="56">
        <v>0.05</v>
      </c>
      <c r="H5" s="57">
        <v>8.0000000000000002E-3</v>
      </c>
    </row>
    <row r="6" spans="2:8" ht="30.75" thickBot="1" x14ac:dyDescent="0.3">
      <c r="E6" s="58" t="s">
        <v>77</v>
      </c>
      <c r="F6" s="59" t="e">
        <f>NA()</f>
        <v>#N/A</v>
      </c>
      <c r="G6" s="60">
        <v>0.25</v>
      </c>
      <c r="H6" s="61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117283.47961066144</v>
      </c>
    </row>
    <row r="10" spans="2:8" x14ac:dyDescent="0.25">
      <c r="B10" s="4">
        <v>1</v>
      </c>
      <c r="C10" s="2">
        <f>(base*(1+raise)^B10)*(1+bonus)</f>
        <v>122412.5050118659</v>
      </c>
    </row>
    <row r="11" spans="2:8" x14ac:dyDescent="0.25">
      <c r="B11" s="4">
        <v>2</v>
      </c>
      <c r="C11" s="2">
        <f>(base*(1+raise)^B11)*(1+bonus)</f>
        <v>127765.83226405167</v>
      </c>
    </row>
    <row r="12" spans="2:8" x14ac:dyDescent="0.25">
      <c r="B12" s="4">
        <v>3</v>
      </c>
      <c r="C12" s="2">
        <f>(base*(1+raise)^B12)*(1+bonus)</f>
        <v>133353.27050568431</v>
      </c>
    </row>
    <row r="13" spans="2:8" ht="15.75" thickBot="1" x14ac:dyDescent="0.3">
      <c r="B13" s="36">
        <v>4</v>
      </c>
      <c r="C13" s="37">
        <f>(base*(1+raise)^B13)*(1+bonus)</f>
        <v>139185.05784715715</v>
      </c>
    </row>
    <row r="14" spans="2:8" ht="16.5" thickTop="1" thickBot="1" x14ac:dyDescent="0.3">
      <c r="B14" s="34" t="s">
        <v>3</v>
      </c>
      <c r="C14" s="35">
        <f>SUM(C9:C13)</f>
        <v>640000.14523942047</v>
      </c>
    </row>
  </sheetData>
  <scenarios current="0" sqref="C9:C14">
    <scenario name="Job 1" locked="1" count="3" user="Abdullah" comment="Created by Abdullah on 11/14/2025">
      <inputCells r="C3" val="100000" numFmtId="164"/>
      <inputCells r="C4" val="0.1" numFmtId="9"/>
      <inputCells r="C5" val="0.015" numFmtId="165"/>
    </scenario>
    <scenario name="Job 2" locked="1" count="3" user="Abdullah" comment="Created by Abdullah on 11/14/2025">
      <inputCells r="C3" val="80000" numFmtId="164"/>
      <inputCells r="C4" val="0.15" numFmtId="9"/>
      <inputCells r="C5" val="0.012" numFmtId="165"/>
    </scenario>
    <scenario name="Job 3" locked="1" count="3" user="Abdullah" comment="Created by Abdullah on 11/14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6" t="s">
        <v>50</v>
      </c>
      <c r="C15" s="46" t="s">
        <v>51</v>
      </c>
      <c r="D15" s="46" t="s">
        <v>52</v>
      </c>
      <c r="E15" s="46" t="s">
        <v>53</v>
      </c>
    </row>
    <row r="16" spans="1:5" ht="15.75" thickBot="1" x14ac:dyDescent="0.3">
      <c r="B16" s="45" t="s">
        <v>29</v>
      </c>
      <c r="C16" s="45" t="s">
        <v>35</v>
      </c>
      <c r="D16" s="48">
        <v>640000.63710000005</v>
      </c>
      <c r="E16" s="48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6" t="s">
        <v>50</v>
      </c>
      <c r="C20" s="46" t="s">
        <v>51</v>
      </c>
      <c r="D20" s="46" t="s">
        <v>52</v>
      </c>
      <c r="E20" s="46" t="s">
        <v>53</v>
      </c>
      <c r="F20" s="46" t="s">
        <v>55</v>
      </c>
    </row>
    <row r="21" spans="1:7" x14ac:dyDescent="0.25">
      <c r="B21" s="47" t="s">
        <v>60</v>
      </c>
      <c r="C21" s="47" t="s">
        <v>15</v>
      </c>
      <c r="D21" s="49">
        <v>0.20547045696368638</v>
      </c>
      <c r="E21" s="49">
        <v>0.20547045696368638</v>
      </c>
      <c r="F21" s="47" t="s">
        <v>61</v>
      </c>
    </row>
    <row r="22" spans="1:7" ht="15.75" thickBot="1" x14ac:dyDescent="0.3">
      <c r="B22" s="45" t="s">
        <v>62</v>
      </c>
      <c r="C22" s="45" t="s">
        <v>16</v>
      </c>
      <c r="D22" s="50">
        <v>0.03</v>
      </c>
      <c r="E22" s="50">
        <v>0.03</v>
      </c>
      <c r="F22" s="45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6" t="s">
        <v>50</v>
      </c>
      <c r="C26" s="46" t="s">
        <v>51</v>
      </c>
      <c r="D26" s="46" t="s">
        <v>57</v>
      </c>
      <c r="E26" s="46" t="s">
        <v>58</v>
      </c>
      <c r="F26" s="46" t="s">
        <v>59</v>
      </c>
      <c r="G26" s="46" t="s">
        <v>8</v>
      </c>
    </row>
    <row r="27" spans="1:7" x14ac:dyDescent="0.25">
      <c r="B27" s="47" t="s">
        <v>29</v>
      </c>
      <c r="C27" s="47" t="s">
        <v>35</v>
      </c>
      <c r="D27" s="51">
        <v>640000.64</v>
      </c>
      <c r="E27" s="47" t="s">
        <v>63</v>
      </c>
      <c r="F27" s="47" t="s">
        <v>64</v>
      </c>
      <c r="G27" s="47">
        <v>0</v>
      </c>
    </row>
    <row r="28" spans="1:7" x14ac:dyDescent="0.25">
      <c r="B28" s="47" t="s">
        <v>60</v>
      </c>
      <c r="C28" s="47" t="s">
        <v>15</v>
      </c>
      <c r="D28" s="49">
        <v>0.20547045696368638</v>
      </c>
      <c r="E28" s="47" t="s">
        <v>65</v>
      </c>
      <c r="F28" s="47" t="s">
        <v>66</v>
      </c>
      <c r="G28" s="47">
        <v>4.4529543036313624E-2</v>
      </c>
    </row>
    <row r="29" spans="1:7" ht="15.75" thickBot="1" x14ac:dyDescent="0.3">
      <c r="B29" s="45" t="s">
        <v>62</v>
      </c>
      <c r="C29" s="45" t="s">
        <v>16</v>
      </c>
      <c r="D29" s="50">
        <v>0.03</v>
      </c>
      <c r="E29" s="45" t="s">
        <v>67</v>
      </c>
      <c r="F29" s="45" t="s">
        <v>66</v>
      </c>
      <c r="G29" s="45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2"/>
      <c r="C6" s="52" t="s">
        <v>71</v>
      </c>
      <c r="D6" s="52"/>
    </row>
    <row r="7" spans="1:10" ht="15.75" thickBot="1" x14ac:dyDescent="0.3">
      <c r="B7" s="53" t="s">
        <v>50</v>
      </c>
      <c r="C7" s="53" t="s">
        <v>51</v>
      </c>
      <c r="D7" s="53" t="s">
        <v>69</v>
      </c>
    </row>
    <row r="8" spans="1:10" ht="15.75" thickBot="1" x14ac:dyDescent="0.3">
      <c r="B8" s="45" t="s">
        <v>29</v>
      </c>
      <c r="C8" s="45" t="s">
        <v>35</v>
      </c>
      <c r="D8" s="48">
        <v>640000.63710000005</v>
      </c>
    </row>
    <row r="10" spans="1:10" ht="15.75" thickBot="1" x14ac:dyDescent="0.3"/>
    <row r="11" spans="1:10" x14ac:dyDescent="0.25">
      <c r="B11" s="52"/>
      <c r="C11" s="52" t="s">
        <v>72</v>
      </c>
      <c r="D11" s="52"/>
      <c r="F11" s="52" t="s">
        <v>73</v>
      </c>
      <c r="G11" s="52" t="s">
        <v>71</v>
      </c>
      <c r="I11" s="52" t="s">
        <v>76</v>
      </c>
      <c r="J11" s="52" t="s">
        <v>71</v>
      </c>
    </row>
    <row r="12" spans="1:10" ht="15.75" thickBot="1" x14ac:dyDescent="0.3">
      <c r="B12" s="53" t="s">
        <v>50</v>
      </c>
      <c r="C12" s="53" t="s">
        <v>51</v>
      </c>
      <c r="D12" s="53" t="s">
        <v>69</v>
      </c>
      <c r="F12" s="53" t="s">
        <v>74</v>
      </c>
      <c r="G12" s="53" t="s">
        <v>75</v>
      </c>
      <c r="I12" s="53" t="s">
        <v>74</v>
      </c>
      <c r="J12" s="53" t="s">
        <v>75</v>
      </c>
    </row>
    <row r="13" spans="1:10" x14ac:dyDescent="0.25">
      <c r="B13" s="47" t="s">
        <v>60</v>
      </c>
      <c r="C13" s="47" t="s">
        <v>15</v>
      </c>
      <c r="D13" s="49">
        <v>0.20547045696368638</v>
      </c>
      <c r="F13" s="49">
        <v>0</v>
      </c>
      <c r="G13" s="49">
        <v>530913.57999999996</v>
      </c>
      <c r="I13" s="49">
        <v>0.25</v>
      </c>
      <c r="J13" s="49">
        <v>663641.98</v>
      </c>
    </row>
    <row r="14" spans="1:10" ht="15.75" thickBot="1" x14ac:dyDescent="0.3">
      <c r="B14" s="45" t="s">
        <v>62</v>
      </c>
      <c r="C14" s="45" t="s">
        <v>16</v>
      </c>
      <c r="D14" s="50">
        <v>0.03</v>
      </c>
      <c r="F14" s="50">
        <v>0</v>
      </c>
      <c r="G14" s="50">
        <v>602735.23</v>
      </c>
      <c r="I14" s="50">
        <v>0.04</v>
      </c>
      <c r="J14" s="50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Forecast_Original</vt:lpstr>
      <vt:lpstr>Forcasting_chart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Intergalactic Bypass</cp:lastModifiedBy>
  <dcterms:created xsi:type="dcterms:W3CDTF">2024-08-08T18:34:47Z</dcterms:created>
  <dcterms:modified xsi:type="dcterms:W3CDTF">2025-11-15T11:23:45Z</dcterms:modified>
</cp:coreProperties>
</file>